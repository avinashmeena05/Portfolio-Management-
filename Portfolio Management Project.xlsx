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DE1ABEFD-9264-4324-9873-22E1536838DF}" xr6:coauthVersionLast="47" xr6:coauthVersionMax="47" xr10:uidLastSave="{00000000-0000-0000-0000-000000000000}"/>
  <bookViews>
    <workbookView xWindow="-108" yWindow="-108" windowWidth="23256" windowHeight="12456" xr2:uid="{4BA6C2DA-F02A-4113-A4BC-ADC0A9FB9F8C}"/>
  </bookViews>
  <sheets>
    <sheet name="Portfolio Maths" sheetId="1" r:id="rId1"/>
    <sheet name="Stock Allocation Model" sheetId="3" r:id="rId2"/>
    <sheet name="Adjustment Factor" sheetId="9" r:id="rId3"/>
    <sheet name="Ideal Scenario (2025-2033)" sheetId="2" r:id="rId4"/>
    <sheet name="Phase 1 (Jun 2025 - Apr 2028)" sheetId="5" r:id="rId5"/>
    <sheet name="Phase 2 (May 2028 - Dec 2030)" sheetId="6" r:id="rId6"/>
    <sheet name="Phase 3 (Jan 31 - Jun 33)" sheetId="7" r:id="rId7"/>
    <sheet name="Rationale Behind Adj. Factor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7" i="7" l="1"/>
  <c r="L46" i="7"/>
  <c r="L45" i="7"/>
  <c r="I4" i="2"/>
  <c r="I5" i="2"/>
  <c r="I6" i="2"/>
  <c r="H6" i="5" s="1"/>
  <c r="I7" i="2"/>
  <c r="I8" i="2"/>
  <c r="I9" i="2"/>
  <c r="I10" i="2"/>
  <c r="I11" i="2"/>
  <c r="I12" i="2"/>
  <c r="I13" i="2"/>
  <c r="I14" i="2"/>
  <c r="I15" i="2"/>
  <c r="I16" i="2"/>
  <c r="I17" i="2"/>
  <c r="I18" i="2"/>
  <c r="I19" i="2"/>
  <c r="I3" i="2"/>
  <c r="H3" i="5" s="1"/>
  <c r="I3" i="5" s="1"/>
  <c r="C27" i="7"/>
  <c r="C26" i="7"/>
  <c r="N34" i="7"/>
  <c r="N33" i="7"/>
  <c r="E19" i="6"/>
  <c r="J5" i="7"/>
  <c r="J6" i="7"/>
  <c r="J7" i="7"/>
  <c r="J8" i="7"/>
  <c r="J9" i="7"/>
  <c r="J10" i="7"/>
  <c r="J11" i="7"/>
  <c r="J12" i="7"/>
  <c r="J13" i="7"/>
  <c r="J14" i="7"/>
  <c r="J15" i="7"/>
  <c r="J16" i="7"/>
  <c r="J17" i="7"/>
  <c r="J18" i="7"/>
  <c r="J19" i="7"/>
  <c r="J20" i="7"/>
  <c r="J4" i="7"/>
  <c r="C28" i="7" s="1"/>
  <c r="C29" i="7" s="1"/>
  <c r="H12" i="7"/>
  <c r="K12" i="7" s="1"/>
  <c r="H11" i="7"/>
  <c r="K11" i="7" s="1"/>
  <c r="H10" i="7"/>
  <c r="K10" i="7" s="1"/>
  <c r="N32" i="7"/>
  <c r="N31" i="7"/>
  <c r="N30" i="7"/>
  <c r="E21" i="7"/>
  <c r="M35" i="7"/>
  <c r="L35" i="7"/>
  <c r="D16" i="7"/>
  <c r="D18" i="7"/>
  <c r="J4" i="6"/>
  <c r="J5" i="6"/>
  <c r="J6" i="6"/>
  <c r="J7" i="6"/>
  <c r="J8" i="6"/>
  <c r="J9" i="6"/>
  <c r="J10" i="6"/>
  <c r="J11" i="6"/>
  <c r="J12" i="6"/>
  <c r="J13" i="6"/>
  <c r="J14" i="6"/>
  <c r="J15" i="6"/>
  <c r="J16" i="6"/>
  <c r="J17" i="6"/>
  <c r="J18" i="6"/>
  <c r="J19" i="6"/>
  <c r="J3" i="6"/>
  <c r="C28" i="6" s="1"/>
  <c r="H12" i="6"/>
  <c r="K12" i="6" s="1"/>
  <c r="H16" i="7" s="1"/>
  <c r="K16" i="7" s="1"/>
  <c r="H16" i="6"/>
  <c r="K16" i="6" s="1"/>
  <c r="H18" i="7" s="1"/>
  <c r="D19" i="7"/>
  <c r="D20" i="7"/>
  <c r="E17" i="6"/>
  <c r="E14" i="6"/>
  <c r="E15" i="6"/>
  <c r="E13" i="6"/>
  <c r="D17" i="7" s="1"/>
  <c r="G18" i="5"/>
  <c r="G19" i="5"/>
  <c r="F18" i="5"/>
  <c r="F19" i="5"/>
  <c r="E18" i="5"/>
  <c r="E19" i="5"/>
  <c r="D18" i="5"/>
  <c r="D19" i="5"/>
  <c r="H4" i="5"/>
  <c r="H5" i="5"/>
  <c r="H7" i="5"/>
  <c r="H8" i="5"/>
  <c r="H9" i="5"/>
  <c r="H11" i="5"/>
  <c r="H16" i="5"/>
  <c r="H4" i="2"/>
  <c r="G4" i="5" s="1"/>
  <c r="H5" i="2"/>
  <c r="G5" i="5" s="1"/>
  <c r="H6" i="2"/>
  <c r="G6" i="5" s="1"/>
  <c r="H7" i="2"/>
  <c r="G7" i="5" s="1"/>
  <c r="H8" i="2"/>
  <c r="G8" i="5" s="1"/>
  <c r="H9" i="2"/>
  <c r="G9" i="5" s="1"/>
  <c r="H10" i="2"/>
  <c r="G10" i="5" s="1"/>
  <c r="H11" i="2"/>
  <c r="G11" i="5" s="1"/>
  <c r="H12" i="2"/>
  <c r="G12" i="5" s="1"/>
  <c r="H13" i="2"/>
  <c r="G13" i="5" s="1"/>
  <c r="H14" i="2"/>
  <c r="G14" i="5" s="1"/>
  <c r="H15" i="2"/>
  <c r="G15" i="5" s="1"/>
  <c r="H16" i="2"/>
  <c r="G16" i="5" s="1"/>
  <c r="H17" i="2"/>
  <c r="G17" i="5" s="1"/>
  <c r="H3" i="2"/>
  <c r="G3" i="5" s="1"/>
  <c r="G4" i="2"/>
  <c r="F4" i="5" s="1"/>
  <c r="G5" i="2"/>
  <c r="F5" i="5" s="1"/>
  <c r="I5" i="5" s="1"/>
  <c r="J5" i="5" s="1"/>
  <c r="G6" i="2"/>
  <c r="F6" i="5" s="1"/>
  <c r="G7" i="2"/>
  <c r="F7" i="5" s="1"/>
  <c r="I7" i="5" s="1"/>
  <c r="J7" i="5" s="1"/>
  <c r="G8" i="2"/>
  <c r="F8" i="5" s="1"/>
  <c r="I8" i="5" s="1"/>
  <c r="G9" i="2"/>
  <c r="F9" i="5" s="1"/>
  <c r="G10" i="2"/>
  <c r="F10" i="5" s="1"/>
  <c r="I10" i="5" s="1"/>
  <c r="G11" i="2"/>
  <c r="F11" i="5" s="1"/>
  <c r="I11" i="5" s="1"/>
  <c r="J11" i="5" s="1"/>
  <c r="G12" i="2"/>
  <c r="F12" i="5" s="1"/>
  <c r="I12" i="5" s="1"/>
  <c r="G13" i="2"/>
  <c r="F13" i="5" s="1"/>
  <c r="I13" i="5" s="1"/>
  <c r="G14" i="2"/>
  <c r="F14" i="5" s="1"/>
  <c r="I14" i="5" s="1"/>
  <c r="G15" i="2"/>
  <c r="F15" i="5" s="1"/>
  <c r="I15" i="5" s="1"/>
  <c r="G16" i="2"/>
  <c r="F16" i="5" s="1"/>
  <c r="I16" i="5" s="1"/>
  <c r="G17" i="2"/>
  <c r="F17" i="5" s="1"/>
  <c r="I17" i="5" s="1"/>
  <c r="G3" i="2"/>
  <c r="F3" i="5" s="1"/>
  <c r="F18" i="2"/>
  <c r="L18" i="2" s="1"/>
  <c r="F19" i="2"/>
  <c r="L19" i="2" s="1"/>
  <c r="R13" i="3"/>
  <c r="S13" i="3" s="1"/>
  <c r="E14" i="2" s="1"/>
  <c r="R14" i="3"/>
  <c r="S14" i="3" s="1"/>
  <c r="E15" i="2" s="1"/>
  <c r="R15" i="3"/>
  <c r="S15" i="3" s="1"/>
  <c r="E16" i="2" s="1"/>
  <c r="R16" i="3"/>
  <c r="S16" i="3" s="1"/>
  <c r="E17" i="2" s="1"/>
  <c r="R12" i="3"/>
  <c r="S12" i="3" s="1"/>
  <c r="E13" i="2" s="1"/>
  <c r="R10" i="3"/>
  <c r="S10" i="3" s="1"/>
  <c r="E11" i="2" s="1"/>
  <c r="R11" i="3"/>
  <c r="S11" i="3" s="1"/>
  <c r="E12" i="2" s="1"/>
  <c r="R9" i="3"/>
  <c r="S9" i="3" s="1"/>
  <c r="E10" i="2" s="1"/>
  <c r="R3" i="3"/>
  <c r="S3" i="3" s="1"/>
  <c r="E4" i="2" s="1"/>
  <c r="R4" i="3"/>
  <c r="S4" i="3" s="1"/>
  <c r="E5" i="2" s="1"/>
  <c r="R5" i="3"/>
  <c r="S5" i="3" s="1"/>
  <c r="E6" i="2" s="1"/>
  <c r="R6" i="3"/>
  <c r="S6" i="3" s="1"/>
  <c r="E7" i="2" s="1"/>
  <c r="R7" i="3"/>
  <c r="S7" i="3" s="1"/>
  <c r="E8" i="2" s="1"/>
  <c r="R8" i="3"/>
  <c r="S8" i="3" s="1"/>
  <c r="E9" i="2" s="1"/>
  <c r="R2" i="3"/>
  <c r="Q13" i="3"/>
  <c r="Q14" i="3"/>
  <c r="Q15" i="3"/>
  <c r="Q16" i="3"/>
  <c r="Q12" i="3"/>
  <c r="Q10" i="3"/>
  <c r="Q11" i="3"/>
  <c r="Q9" i="3"/>
  <c r="Q3" i="3"/>
  <c r="Q4" i="3"/>
  <c r="Q5" i="3"/>
  <c r="Q6" i="3"/>
  <c r="Q7" i="3"/>
  <c r="Q8" i="3"/>
  <c r="Q2" i="3"/>
  <c r="Q4" i="1"/>
  <c r="Q5" i="1"/>
  <c r="Q6" i="1"/>
  <c r="Q7" i="1"/>
  <c r="Q8" i="1"/>
  <c r="Q9" i="1"/>
  <c r="Q3" i="1"/>
  <c r="Q10" i="1" s="1"/>
  <c r="D14" i="1"/>
  <c r="D5" i="1"/>
  <c r="D15" i="1" s="1"/>
  <c r="R4" i="1" l="1"/>
  <c r="S4" i="1" s="1"/>
  <c r="R5" i="1"/>
  <c r="S5" i="1" s="1"/>
  <c r="R6" i="1"/>
  <c r="S6" i="1" s="1"/>
  <c r="R7" i="1"/>
  <c r="S7" i="1" s="1"/>
  <c r="R8" i="1"/>
  <c r="S8" i="1" s="1"/>
  <c r="R9" i="1"/>
  <c r="S9" i="1" s="1"/>
  <c r="R3" i="1"/>
  <c r="S3" i="1" s="1"/>
  <c r="I4" i="5"/>
  <c r="I6" i="5"/>
  <c r="I9" i="5"/>
  <c r="J9" i="5" s="1"/>
  <c r="L9" i="5" s="1"/>
  <c r="J15" i="5"/>
  <c r="S2" i="3"/>
  <c r="E3" i="2" s="1"/>
  <c r="D3" i="5" s="1"/>
  <c r="F14" i="2"/>
  <c r="D14" i="5"/>
  <c r="F15" i="2"/>
  <c r="E15" i="5" s="1"/>
  <c r="D15" i="5"/>
  <c r="F16" i="2"/>
  <c r="D16" i="5"/>
  <c r="F17" i="2"/>
  <c r="D17" i="5"/>
  <c r="F13" i="2"/>
  <c r="D13" i="5"/>
  <c r="F11" i="2"/>
  <c r="D11" i="5"/>
  <c r="D10" i="6" s="1"/>
  <c r="E10" i="6" s="1"/>
  <c r="F12" i="2"/>
  <c r="D12" i="5"/>
  <c r="D11" i="6" s="1"/>
  <c r="E11" i="6" s="1"/>
  <c r="D15" i="7" s="1"/>
  <c r="F10" i="2"/>
  <c r="D10" i="5"/>
  <c r="D9" i="6" s="1"/>
  <c r="E9" i="6" s="1"/>
  <c r="F4" i="2"/>
  <c r="D4" i="5"/>
  <c r="F5" i="2"/>
  <c r="D5" i="5"/>
  <c r="D5" i="6" s="1"/>
  <c r="E5" i="6" s="1"/>
  <c r="D6" i="7" s="1"/>
  <c r="F6" i="2"/>
  <c r="D6" i="5"/>
  <c r="D6" i="6" s="1"/>
  <c r="E6" i="6" s="1"/>
  <c r="D7" i="7" s="1"/>
  <c r="F7" i="2"/>
  <c r="D7" i="5"/>
  <c r="D7" i="6" s="1"/>
  <c r="E7" i="6" s="1"/>
  <c r="D8" i="7" s="1"/>
  <c r="F8" i="2"/>
  <c r="D8" i="5"/>
  <c r="D8" i="6" s="1"/>
  <c r="E8" i="6" s="1"/>
  <c r="D9" i="7" s="1"/>
  <c r="F9" i="2"/>
  <c r="D9" i="5"/>
  <c r="J13" i="5"/>
  <c r="J17" i="5"/>
  <c r="J4" i="5"/>
  <c r="J6" i="5"/>
  <c r="J8" i="5"/>
  <c r="J16" i="5"/>
  <c r="L16" i="5" s="1"/>
  <c r="J18" i="2"/>
  <c r="K18" i="2" s="1"/>
  <c r="M18" i="2" s="1"/>
  <c r="H18" i="5"/>
  <c r="I18" i="5" s="1"/>
  <c r="J18" i="5" s="1"/>
  <c r="J19" i="2"/>
  <c r="K19" i="2" s="1"/>
  <c r="H19" i="5"/>
  <c r="I19" i="5" s="1"/>
  <c r="J19" i="5" s="1"/>
  <c r="J3" i="5"/>
  <c r="C27" i="5"/>
  <c r="C31" i="7"/>
  <c r="C30" i="7"/>
  <c r="J12" i="5"/>
  <c r="L12" i="5" s="1"/>
  <c r="J14" i="5"/>
  <c r="J10" i="5"/>
  <c r="L15" i="2"/>
  <c r="K18" i="7"/>
  <c r="D14" i="7"/>
  <c r="D13" i="7"/>
  <c r="N35" i="7"/>
  <c r="L4" i="5"/>
  <c r="H4" i="6"/>
  <c r="K4" i="6" s="1"/>
  <c r="H5" i="7" s="1"/>
  <c r="K5" i="7" s="1"/>
  <c r="L5" i="5"/>
  <c r="H5" i="6"/>
  <c r="K5" i="6" s="1"/>
  <c r="H6" i="7" s="1"/>
  <c r="K6" i="7" s="1"/>
  <c r="L6" i="5"/>
  <c r="H6" i="6"/>
  <c r="K6" i="6" s="1"/>
  <c r="H7" i="7" s="1"/>
  <c r="K7" i="7" s="1"/>
  <c r="L7" i="5"/>
  <c r="H7" i="6"/>
  <c r="K7" i="6" s="1"/>
  <c r="H8" i="7" s="1"/>
  <c r="K8" i="7" s="1"/>
  <c r="L10" i="5"/>
  <c r="H9" i="6"/>
  <c r="K9" i="6" s="1"/>
  <c r="H13" i="7" s="1"/>
  <c r="K13" i="7" s="1"/>
  <c r="L11" i="5"/>
  <c r="H10" i="6"/>
  <c r="K10" i="6" s="1"/>
  <c r="H14" i="7" s="1"/>
  <c r="K14" i="7" s="1"/>
  <c r="H11" i="6"/>
  <c r="K11" i="6" s="1"/>
  <c r="H15" i="7" s="1"/>
  <c r="K15" i="7" s="1"/>
  <c r="L13" i="5"/>
  <c r="H13" i="6"/>
  <c r="K13" i="6" s="1"/>
  <c r="H17" i="7" s="1"/>
  <c r="K17" i="7" s="1"/>
  <c r="L15" i="5"/>
  <c r="H15" i="6"/>
  <c r="K15" i="6" s="1"/>
  <c r="L17" i="5"/>
  <c r="H17" i="6"/>
  <c r="K17" i="6" s="1"/>
  <c r="D3" i="6"/>
  <c r="E3" i="6" s="1"/>
  <c r="D20" i="5"/>
  <c r="J7" i="2"/>
  <c r="K7" i="2" s="1"/>
  <c r="M7" i="2" s="1"/>
  <c r="J8" i="2"/>
  <c r="K8" i="2" s="1"/>
  <c r="M8" i="2" s="1"/>
  <c r="J11" i="2"/>
  <c r="K11" i="2" s="1"/>
  <c r="M11" i="2" s="1"/>
  <c r="J13" i="2"/>
  <c r="K13" i="2" s="1"/>
  <c r="M13" i="2" s="1"/>
  <c r="J16" i="2"/>
  <c r="K16" i="2" s="1"/>
  <c r="M16" i="2" s="1"/>
  <c r="M19" i="2"/>
  <c r="J5" i="2"/>
  <c r="K5" i="2" s="1"/>
  <c r="M5" i="2" s="1"/>
  <c r="J6" i="2"/>
  <c r="K6" i="2" s="1"/>
  <c r="M6" i="2" s="1"/>
  <c r="J9" i="2"/>
  <c r="K9" i="2" s="1"/>
  <c r="M9" i="2" s="1"/>
  <c r="J12" i="2"/>
  <c r="K12" i="2" s="1"/>
  <c r="M12" i="2" s="1"/>
  <c r="J15" i="2"/>
  <c r="K15" i="2" s="1"/>
  <c r="J17" i="2"/>
  <c r="K17" i="2" s="1"/>
  <c r="M17" i="2" s="1"/>
  <c r="J3" i="2"/>
  <c r="K3" i="2" s="1"/>
  <c r="J4" i="2"/>
  <c r="K4" i="2" s="1"/>
  <c r="M4" i="2" s="1"/>
  <c r="J10" i="2"/>
  <c r="K10" i="2" s="1"/>
  <c r="M10" i="2" s="1"/>
  <c r="J14" i="2"/>
  <c r="K14" i="2" s="1"/>
  <c r="M14" i="2" s="1"/>
  <c r="D27" i="2"/>
  <c r="D26" i="2"/>
  <c r="F3" i="2"/>
  <c r="E3" i="5" s="1"/>
  <c r="D25" i="2"/>
  <c r="E20" i="2"/>
  <c r="D16" i="1"/>
  <c r="D17" i="1" s="1"/>
  <c r="L18" i="5" l="1"/>
  <c r="H18" i="6"/>
  <c r="K18" i="6" s="1"/>
  <c r="H19" i="7" s="1"/>
  <c r="K19" i="7" s="1"/>
  <c r="L19" i="5"/>
  <c r="H19" i="6"/>
  <c r="K19" i="6" s="1"/>
  <c r="H20" i="7" s="1"/>
  <c r="K20" i="7" s="1"/>
  <c r="E14" i="5"/>
  <c r="L14" i="2"/>
  <c r="E16" i="5"/>
  <c r="L16" i="2"/>
  <c r="E17" i="5"/>
  <c r="L17" i="2"/>
  <c r="E13" i="5"/>
  <c r="L13" i="2"/>
  <c r="E11" i="5"/>
  <c r="L11" i="2"/>
  <c r="E12" i="5"/>
  <c r="L12" i="2"/>
  <c r="E10" i="5"/>
  <c r="L10" i="2"/>
  <c r="E4" i="5"/>
  <c r="L4" i="2"/>
  <c r="E5" i="5"/>
  <c r="L5" i="2"/>
  <c r="E6" i="5"/>
  <c r="L6" i="2"/>
  <c r="E7" i="5"/>
  <c r="L7" i="2"/>
  <c r="E8" i="5"/>
  <c r="L8" i="2"/>
  <c r="E9" i="5"/>
  <c r="L9" i="2"/>
  <c r="C25" i="5"/>
  <c r="D4" i="6"/>
  <c r="E4" i="6" s="1"/>
  <c r="D5" i="7" s="1"/>
  <c r="C26" i="5"/>
  <c r="C27" i="6"/>
  <c r="C26" i="6"/>
  <c r="L8" i="5"/>
  <c r="H8" i="6"/>
  <c r="K8" i="6" s="1"/>
  <c r="H9" i="7" s="1"/>
  <c r="K9" i="7" s="1"/>
  <c r="L3" i="5"/>
  <c r="H3" i="6"/>
  <c r="K3" i="6" s="1"/>
  <c r="H4" i="7" s="1"/>
  <c r="K4" i="7" s="1"/>
  <c r="L14" i="5"/>
  <c r="H14" i="6"/>
  <c r="K14" i="6" s="1"/>
  <c r="M15" i="2"/>
  <c r="D4" i="7"/>
  <c r="E20" i="6"/>
  <c r="L3" i="2"/>
  <c r="M3" i="2" s="1"/>
  <c r="F20" i="2"/>
  <c r="D28" i="2"/>
  <c r="D30" i="2"/>
  <c r="D29" i="2"/>
  <c r="L20" i="5" l="1"/>
  <c r="C24" i="5" s="1"/>
  <c r="C1" i="6" s="1"/>
  <c r="C30" i="5"/>
  <c r="C29" i="5"/>
  <c r="C28" i="5"/>
  <c r="C31" i="6"/>
  <c r="C29" i="6"/>
  <c r="C30" i="6"/>
  <c r="E20" i="5"/>
  <c r="M20" i="2"/>
  <c r="D24" i="2" s="1"/>
  <c r="F8" i="6"/>
  <c r="L8" i="6" s="1"/>
  <c r="M8" i="6" s="1"/>
  <c r="F18" i="6"/>
  <c r="L18" i="6" s="1"/>
  <c r="M18" i="6" s="1"/>
  <c r="F5" i="6"/>
  <c r="L5" i="6" s="1"/>
  <c r="M5" i="6" s="1"/>
  <c r="F9" i="6"/>
  <c r="L9" i="6" s="1"/>
  <c r="M9" i="6" s="1"/>
  <c r="F14" i="6"/>
  <c r="L14" i="6" s="1"/>
  <c r="M14" i="6" s="1"/>
  <c r="F17" i="6"/>
  <c r="L17" i="6" s="1"/>
  <c r="M17" i="6" s="1"/>
  <c r="F7" i="6"/>
  <c r="L7" i="6" s="1"/>
  <c r="M7" i="6" s="1"/>
  <c r="F10" i="6"/>
  <c r="L10" i="6" s="1"/>
  <c r="M10" i="6" s="1"/>
  <c r="F11" i="6"/>
  <c r="L11" i="6" s="1"/>
  <c r="M11" i="6" s="1"/>
  <c r="F13" i="6"/>
  <c r="L13" i="6" s="1"/>
  <c r="M13" i="6" s="1"/>
  <c r="F16" i="6"/>
  <c r="L16" i="6" s="1"/>
  <c r="M16" i="6" s="1"/>
  <c r="F3" i="6"/>
  <c r="L3" i="6" s="1"/>
  <c r="M3" i="6" s="1"/>
  <c r="F4" i="6"/>
  <c r="L4" i="6" s="1"/>
  <c r="M4" i="6" s="1"/>
  <c r="F6" i="6"/>
  <c r="L6" i="6" s="1"/>
  <c r="M6" i="6" s="1"/>
  <c r="F19" i="6"/>
  <c r="L19" i="6" s="1"/>
  <c r="M19" i="6" s="1"/>
  <c r="F12" i="6"/>
  <c r="F15" i="6"/>
  <c r="L15" i="6" s="1"/>
  <c r="M15" i="6" s="1"/>
  <c r="F20" i="6" l="1"/>
  <c r="L12" i="6"/>
  <c r="M12" i="6" s="1"/>
  <c r="M20" i="6" s="1"/>
  <c r="C1" i="7" l="1"/>
  <c r="C2" i="7" s="1"/>
  <c r="C25" i="6"/>
  <c r="F17" i="7" l="1"/>
  <c r="L17" i="7" s="1"/>
  <c r="M17" i="7" s="1"/>
  <c r="F8" i="7"/>
  <c r="L8" i="7" s="1"/>
  <c r="M8" i="7" s="1"/>
  <c r="F10" i="7"/>
  <c r="L10" i="7" s="1"/>
  <c r="M10" i="7" s="1"/>
  <c r="F12" i="7"/>
  <c r="L12" i="7" s="1"/>
  <c r="M12" i="7" s="1"/>
  <c r="F19" i="7"/>
  <c r="L19" i="7" s="1"/>
  <c r="M19" i="7" s="1"/>
  <c r="F11" i="7"/>
  <c r="L11" i="7" s="1"/>
  <c r="M11" i="7" s="1"/>
  <c r="F20" i="7"/>
  <c r="L20" i="7" s="1"/>
  <c r="M20" i="7" s="1"/>
  <c r="F6" i="7"/>
  <c r="L6" i="7" s="1"/>
  <c r="M6" i="7" s="1"/>
  <c r="F14" i="7"/>
  <c r="L14" i="7" s="1"/>
  <c r="M14" i="7" s="1"/>
  <c r="F15" i="7"/>
  <c r="L15" i="7" s="1"/>
  <c r="M15" i="7" s="1"/>
  <c r="F4" i="7"/>
  <c r="F5" i="7"/>
  <c r="L5" i="7" s="1"/>
  <c r="M5" i="7" s="1"/>
  <c r="F13" i="7"/>
  <c r="L13" i="7" s="1"/>
  <c r="M13" i="7" s="1"/>
  <c r="F7" i="7"/>
  <c r="F9" i="7"/>
  <c r="L9" i="7" s="1"/>
  <c r="M9" i="7" s="1"/>
  <c r="F16" i="7"/>
  <c r="L16" i="7" s="1"/>
  <c r="M16" i="7" s="1"/>
  <c r="F18" i="7"/>
  <c r="L18" i="7" s="1"/>
  <c r="M18" i="7" s="1"/>
  <c r="L4" i="7"/>
  <c r="M4" i="7" s="1"/>
  <c r="L7" i="7" l="1"/>
  <c r="M7" i="7" s="1"/>
  <c r="M21" i="7" s="1"/>
  <c r="F21" i="7"/>
  <c r="M24" i="7" l="1"/>
  <c r="C25" i="7"/>
</calcChain>
</file>

<file path=xl/sharedStrings.xml><?xml version="1.0" encoding="utf-8"?>
<sst xmlns="http://schemas.openxmlformats.org/spreadsheetml/2006/main" count="679" uniqueCount="382">
  <si>
    <t xml:space="preserve">Mathematics </t>
  </si>
  <si>
    <t xml:space="preserve">Revenue </t>
  </si>
  <si>
    <t xml:space="preserve">Expenses </t>
  </si>
  <si>
    <t xml:space="preserve">Savings </t>
  </si>
  <si>
    <t>(per annum)</t>
  </si>
  <si>
    <t xml:space="preserve">Portfolio Amount </t>
  </si>
  <si>
    <t>(in lakhs)</t>
  </si>
  <si>
    <t>Expectations of Client</t>
  </si>
  <si>
    <t xml:space="preserve">Home downpayment </t>
  </si>
  <si>
    <t xml:space="preserve">Home full payment </t>
  </si>
  <si>
    <t xml:space="preserve">Children Future </t>
  </si>
  <si>
    <t xml:space="preserve">Total wealth at the end of 2033 </t>
  </si>
  <si>
    <t xml:space="preserve">Fixed savings from them </t>
  </si>
  <si>
    <t xml:space="preserve">Final output they want from investments </t>
  </si>
  <si>
    <t xml:space="preserve">CAGR </t>
  </si>
  <si>
    <t xml:space="preserve">the average growth rate at which our investments should grow our outputs </t>
  </si>
  <si>
    <t xml:space="preserve">Weights </t>
  </si>
  <si>
    <t>Sector</t>
  </si>
  <si>
    <t>Information Technology</t>
  </si>
  <si>
    <t>Capital Goods &amp; Infrastructure</t>
  </si>
  <si>
    <t xml:space="preserve">Sector </t>
  </si>
  <si>
    <t>Growth</t>
  </si>
  <si>
    <t>Government</t>
  </si>
  <si>
    <t>Profitability</t>
  </si>
  <si>
    <t>Visibility</t>
  </si>
  <si>
    <t>Structural Growth</t>
  </si>
  <si>
    <t>Risk</t>
  </si>
  <si>
    <t>Final Score (/10)</t>
  </si>
  <si>
    <t>Banking &amp; Financial Services</t>
  </si>
  <si>
    <t>Power &amp; Utilities</t>
  </si>
  <si>
    <t>Healthcare &amp; Pharma</t>
  </si>
  <si>
    <t>FMCG / Consumer Staples</t>
  </si>
  <si>
    <t>Oil &amp; Gas</t>
  </si>
  <si>
    <t xml:space="preserve">Sector Weights </t>
  </si>
  <si>
    <t xml:space="preserve">Investment Amount </t>
  </si>
  <si>
    <t xml:space="preserve">Stock </t>
  </si>
  <si>
    <t xml:space="preserve">HDFC </t>
  </si>
  <si>
    <t>ICICI</t>
  </si>
  <si>
    <t xml:space="preserve">Cap </t>
  </si>
  <si>
    <t xml:space="preserve">TCS </t>
  </si>
  <si>
    <t xml:space="preserve">Infosys </t>
  </si>
  <si>
    <t xml:space="preserve">Power Grid </t>
  </si>
  <si>
    <t xml:space="preserve">Reliance Industries </t>
  </si>
  <si>
    <t>ITC</t>
  </si>
  <si>
    <t>LAR</t>
  </si>
  <si>
    <t xml:space="preserve">Persistent Sys </t>
  </si>
  <si>
    <t xml:space="preserve">Cummins ind </t>
  </si>
  <si>
    <t xml:space="preserve">Tata Elxsi </t>
  </si>
  <si>
    <t>MID</t>
  </si>
  <si>
    <t>SMA</t>
  </si>
  <si>
    <t xml:space="preserve">Exide Industries </t>
  </si>
  <si>
    <t xml:space="preserve">ideaForge </t>
  </si>
  <si>
    <t xml:space="preserve">Neuland Laborataries </t>
  </si>
  <si>
    <t xml:space="preserve">HBL Engineering </t>
  </si>
  <si>
    <t xml:space="preserve">Kirloskar oil </t>
  </si>
  <si>
    <t xml:space="preserve">Nuvama Wealth management </t>
  </si>
  <si>
    <t>Expected CAGR</t>
  </si>
  <si>
    <t>Stock</t>
  </si>
  <si>
    <t>Allocation (%)</t>
  </si>
  <si>
    <t>Investment Amount (₹)</t>
  </si>
  <si>
    <t>Current Price</t>
  </si>
  <si>
    <t>CAGR (Past 10Y)</t>
  </si>
  <si>
    <t>Projected Value (2033)</t>
  </si>
  <si>
    <t>Shares Purchased</t>
  </si>
  <si>
    <t>HDFC Bank</t>
  </si>
  <si>
    <t>ICICI Bank</t>
  </si>
  <si>
    <t>Tata Consultancy Services (TCS)</t>
  </si>
  <si>
    <t>Information Technology Services</t>
  </si>
  <si>
    <t>Infosys</t>
  </si>
  <si>
    <t>Power Grid Corporation</t>
  </si>
  <si>
    <t>Power Transmission &amp; Utilities</t>
  </si>
  <si>
    <t>Reliance Industries</t>
  </si>
  <si>
    <t>Energy, Oil &amp; Gas</t>
  </si>
  <si>
    <t>FMCG (Consumer Staples)</t>
  </si>
  <si>
    <t>Persistent Systems</t>
  </si>
  <si>
    <t>Digital Engineering &amp; IT Services</t>
  </si>
  <si>
    <t>Cummins India</t>
  </si>
  <si>
    <t>Capital Goods &amp; Industrial Engineering</t>
  </si>
  <si>
    <t>Tata Elxsi</t>
  </si>
  <si>
    <t>Engineering R&amp;D / Automotive Software</t>
  </si>
  <si>
    <t>Defence &amp; Drone Technology</t>
  </si>
  <si>
    <t>Neuland Laboratories</t>
  </si>
  <si>
    <t>Pharmaceuticals (APIs &amp; Specialty Pharma)</t>
  </si>
  <si>
    <t>HBL Engineering</t>
  </si>
  <si>
    <t>Railway Electronics &amp; Defence Systems</t>
  </si>
  <si>
    <t>Kirloskar Oil Engines</t>
  </si>
  <si>
    <t>Industrial Engineering &amp; Power Equipment</t>
  </si>
  <si>
    <t>Nuvama Wealth Management</t>
  </si>
  <si>
    <t>Financial Services &amp; Wealth Management</t>
  </si>
  <si>
    <t>Commodity</t>
  </si>
  <si>
    <t>Target Maturity Debt Fund / Government Securities</t>
  </si>
  <si>
    <t>Fixed Income (Debt Instruments)</t>
  </si>
  <si>
    <t>Company</t>
  </si>
  <si>
    <t>Sales CAGR (5Y)</t>
  </si>
  <si>
    <t>Score</t>
  </si>
  <si>
    <t>Profit CAGR (5Y)</t>
  </si>
  <si>
    <t>ROE</t>
  </si>
  <si>
    <t>ROCE</t>
  </si>
  <si>
    <t>Debt/Equity</t>
  </si>
  <si>
    <t>Stock CAGR (10Y)</t>
  </si>
  <si>
    <t>Final Score</t>
  </si>
  <si>
    <t>10*</t>
  </si>
  <si>
    <t>TCS</t>
  </si>
  <si>
    <t>Data Patterns</t>
  </si>
  <si>
    <t>Nuvama Wealth Management**</t>
  </si>
  <si>
    <t>Scoring Methodology</t>
  </si>
  <si>
    <t>Sales CAGR (5Y) evaluates long-term business growth.</t>
  </si>
  <si>
    <t>Profit CAGR (5Y) measures earnings growth and receives a higher weight because shareholder value is ultimately driven by profits.</t>
  </si>
  <si>
    <t>ROE measures returns generated for shareholders.</t>
  </si>
  <si>
    <t>ROCE measures capital efficiency and receives a higher weight than ROE because it evaluates returns generated from total capital employed.</t>
  </si>
  <si>
    <t>Debt-to-Equity measures financial stability. Lower debt is preferred.</t>
  </si>
  <si>
    <t>Historical Stock CAGR (2015–2025) measures long-term shareholder wealth creation and serves as a market validation metric.</t>
  </si>
  <si>
    <t>Special Cases</t>
  </si>
  <si>
    <t>1. Banks &amp; Financial Services (HDFC Bank, ICICI Bank, Nuvama Wealth Management):</t>
  </si>
  <si>
    <t>Therefore, they were awarded the full Debt score (10/10), and greater emphasis was placed on profitability and historical performance.</t>
  </si>
  <si>
    <t>2. Nuvama Wealth Management:</t>
  </si>
  <si>
    <t>This limitation should be clearly mentioned in the report.</t>
  </si>
  <si>
    <t>3. Portfolio Allocation:</t>
  </si>
  <si>
    <t>Notes</t>
  </si>
  <si>
    <r>
      <t xml:space="preserve">Debt-to-Equity is </t>
    </r>
    <r>
      <rPr>
        <b/>
        <i/>
        <sz val="11"/>
        <color theme="1"/>
        <rFont val="Calibri"/>
        <family val="2"/>
      </rPr>
      <t>not directly comparable</t>
    </r>
    <r>
      <rPr>
        <i/>
        <sz val="11"/>
        <color theme="1"/>
        <rFont val="Calibri"/>
        <family val="2"/>
      </rPr>
      <t xml:space="preserve"> with non-financial companies because deposits and borrowings are integral to their business models.</t>
    </r>
  </si>
  <si>
    <r>
      <t xml:space="preserve">Since the company was listed in </t>
    </r>
    <r>
      <rPr>
        <b/>
        <i/>
        <sz val="11"/>
        <color theme="1"/>
        <rFont val="Calibri"/>
        <family val="2"/>
      </rPr>
      <t>2023</t>
    </r>
    <r>
      <rPr>
        <i/>
        <sz val="11"/>
        <color theme="1"/>
        <rFont val="Calibri"/>
        <family val="2"/>
      </rPr>
      <t>, the Stock CAGR has been calculated using the available listing period instead of a full 10-year history.</t>
    </r>
  </si>
  <si>
    <r>
      <t xml:space="preserve">Final scores are </t>
    </r>
    <r>
      <rPr>
        <b/>
        <i/>
        <sz val="11"/>
        <color theme="1"/>
        <rFont val="Calibri"/>
        <family val="2"/>
      </rPr>
      <t>not</t>
    </r>
    <r>
      <rPr>
        <i/>
        <sz val="11"/>
        <color theme="1"/>
        <rFont val="Calibri"/>
        <family val="2"/>
      </rPr>
      <t xml:space="preserve"> used to compare Large-, Mid-, and Small-cap companies directly.</t>
    </r>
  </si>
  <si>
    <r>
      <t xml:space="preserve">Companies are first grouped by market capitalization, and scores are then used to rank companies </t>
    </r>
    <r>
      <rPr>
        <b/>
        <i/>
        <sz val="11"/>
        <color theme="1"/>
        <rFont val="Calibri"/>
        <family val="2"/>
      </rPr>
      <t>within each category</t>
    </r>
    <r>
      <rPr>
        <i/>
        <sz val="11"/>
        <color theme="1"/>
        <rFont val="Calibri"/>
        <family val="2"/>
      </rPr>
      <t xml:space="preserve"> before allocating capital according to the predefined Large-, Mid-, and Small-cap weights.</t>
    </r>
  </si>
  <si>
    <t>Weighted Score (Cap Wise)</t>
  </si>
  <si>
    <t xml:space="preserve">Cap wise Distribution </t>
  </si>
  <si>
    <t xml:space="preserve">Large Cap </t>
  </si>
  <si>
    <t xml:space="preserve">Medium Cap </t>
  </si>
  <si>
    <t xml:space="preserve">Small Cap </t>
  </si>
  <si>
    <t xml:space="preserve">Ideal Case Allocation </t>
  </si>
  <si>
    <t xml:space="preserve">Equity </t>
  </si>
  <si>
    <t>Gold ETF(commodity)</t>
  </si>
  <si>
    <t xml:space="preserve">Total </t>
  </si>
  <si>
    <t xml:space="preserve">Investment amount </t>
  </si>
  <si>
    <t>Required CAGR</t>
  </si>
  <si>
    <t xml:space="preserve">Minimum Required Returns </t>
  </si>
  <si>
    <t xml:space="preserve">Investemnt Horizon </t>
  </si>
  <si>
    <t xml:space="preserve">Current Price </t>
  </si>
  <si>
    <t>Nippon India ETF Gold BeES</t>
  </si>
  <si>
    <t>Bharat Bond ETF April 2030</t>
  </si>
  <si>
    <t>Projected Returns at the end of 2033</t>
  </si>
  <si>
    <t xml:space="preserve">Beta of the portfolio </t>
  </si>
  <si>
    <t>Portfolio Returns (Rp)</t>
  </si>
  <si>
    <t>Risk Free Rate (Rf)</t>
  </si>
  <si>
    <t>Market Returns Rate (Rm)</t>
  </si>
  <si>
    <t xml:space="preserve">Sigma </t>
  </si>
  <si>
    <t>Sharpe Ratio</t>
  </si>
  <si>
    <t xml:space="preserve">Treynor Ratio </t>
  </si>
  <si>
    <t xml:space="preserve">Jensen Alpha </t>
  </si>
  <si>
    <t>Adjustment Factor</t>
  </si>
  <si>
    <t>Power Grid</t>
  </si>
  <si>
    <t>Gold ETF</t>
  </si>
  <si>
    <t>Bharat Bond ETF</t>
  </si>
  <si>
    <t>Projected Returns (₹)</t>
  </si>
  <si>
    <t>Beta (3y)</t>
  </si>
  <si>
    <t>Portfolio Construction Methodology</t>
  </si>
  <si>
    <t>3. Asset allocation consists of:</t>
  </si>
  <si>
    <t>Return on Equity (ROE)</t>
  </si>
  <si>
    <t>Return on Capital Employed (ROCE)</t>
  </si>
  <si>
    <t>Debt-to-Equity Ratio</t>
  </si>
  <si>
    <t>Historical Stock CAGR (10Y)</t>
  </si>
  <si>
    <t>5. Capital was allocated to companies after normalizing the scores within each market-cap category to maintain diversification while rewarding fundamentally stronger businesses.</t>
  </si>
  <si>
    <t>Industry Outlook</t>
  </si>
  <si>
    <t>Company Maturity</t>
  </si>
  <si>
    <t>Current Valuation</t>
  </si>
  <si>
    <t>Long-term Growth Drivers</t>
  </si>
  <si>
    <t>8. Companies with exceptionally high historical returns were assigned conservative adjustment factors to account for mean reversion, whereas companies operating in sectors with favourable structural growth received neutral or positive adjustments.</t>
  </si>
  <si>
    <t>9. Gold ETF has been included as an inflation hedge and portfolio diversifier, while Bharat Bond ETF has been included to improve capital preservation and reduce overall portfolio risk.</t>
  </si>
  <si>
    <r>
      <t xml:space="preserve">1. The portfolio has been constructed assuming an initial investment of </t>
    </r>
    <r>
      <rPr>
        <b/>
        <i/>
        <sz val="10"/>
        <color theme="1"/>
        <rFont val="Calibri"/>
        <family val="2"/>
      </rPr>
      <t>₹80,00,000 in June 2025</t>
    </r>
    <r>
      <rPr>
        <i/>
        <sz val="10"/>
        <color theme="1"/>
        <rFont val="Calibri"/>
        <family val="2"/>
      </rPr>
      <t xml:space="preserve"> with an investment horizon of </t>
    </r>
    <r>
      <rPr>
        <b/>
        <i/>
        <sz val="10"/>
        <color theme="1"/>
        <rFont val="Calibri"/>
        <family val="2"/>
      </rPr>
      <t>8 years</t>
    </r>
    <r>
      <rPr>
        <i/>
        <sz val="10"/>
        <color theme="1"/>
        <rFont val="Calibri"/>
        <family val="2"/>
      </rPr>
      <t>.</t>
    </r>
  </si>
  <si>
    <r>
      <t xml:space="preserve">2. The investment objective is to achieve a minimum portfolio CAGR of </t>
    </r>
    <r>
      <rPr>
        <b/>
        <i/>
        <sz val="10"/>
        <color theme="1"/>
        <rFont val="Calibri"/>
        <family val="2"/>
      </rPr>
      <t>18.35%</t>
    </r>
    <r>
      <rPr>
        <i/>
        <sz val="10"/>
        <color theme="1"/>
        <rFont val="Calibri"/>
        <family val="2"/>
      </rPr>
      <t xml:space="preserve"> to meet the client's long-term financial goals while maintaining an appropriate level of diversification and risk.</t>
    </r>
  </si>
  <si>
    <r>
      <t>Equity:</t>
    </r>
    <r>
      <rPr>
        <i/>
        <sz val="10"/>
        <color theme="1"/>
        <rFont val="Calibri"/>
        <family val="2"/>
      </rPr>
      <t xml:space="preserve"> 92%</t>
    </r>
  </si>
  <si>
    <r>
      <t>Gold ETF:</t>
    </r>
    <r>
      <rPr>
        <i/>
        <sz val="10"/>
        <color theme="1"/>
        <rFont val="Calibri"/>
        <family val="2"/>
      </rPr>
      <t xml:space="preserve"> 5%</t>
    </r>
  </si>
  <si>
    <r>
      <t>Fixed Income:</t>
    </r>
    <r>
      <rPr>
        <i/>
        <sz val="10"/>
        <color theme="1"/>
        <rFont val="Calibri"/>
        <family val="2"/>
      </rPr>
      <t xml:space="preserve"> 3%</t>
    </r>
  </si>
  <si>
    <r>
      <t xml:space="preserve">4. Equity allocation was distributed across </t>
    </r>
    <r>
      <rPr>
        <b/>
        <i/>
        <sz val="10"/>
        <color theme="1"/>
        <rFont val="Calibri"/>
        <family val="2"/>
      </rPr>
      <t>Large-, Mid-, and Small-cap companies</t>
    </r>
    <r>
      <rPr>
        <i/>
        <sz val="10"/>
        <color theme="1"/>
        <rFont val="Calibri"/>
        <family val="2"/>
      </rPr>
      <t xml:space="preserve"> using a quantitative company scoring model based on:</t>
    </r>
  </si>
  <si>
    <r>
      <t xml:space="preserve">6. Historical financial metrics were obtained from </t>
    </r>
    <r>
      <rPr>
        <b/>
        <i/>
        <sz val="10"/>
        <color theme="1"/>
        <rFont val="Calibri"/>
        <family val="2"/>
      </rPr>
      <t>Screener</t>
    </r>
    <r>
      <rPr>
        <i/>
        <sz val="10"/>
        <color theme="1"/>
        <rFont val="Calibri"/>
        <family val="2"/>
      </rPr>
      <t xml:space="preserve">, while </t>
    </r>
    <r>
      <rPr>
        <b/>
        <i/>
        <sz val="10"/>
        <color theme="1"/>
        <rFont val="Calibri"/>
        <family val="2"/>
      </rPr>
      <t>3-Year Beta values</t>
    </r>
    <r>
      <rPr>
        <i/>
        <sz val="10"/>
        <color theme="1"/>
        <rFont val="Calibri"/>
        <family val="2"/>
      </rPr>
      <t xml:space="preserve"> were sourced from </t>
    </r>
    <r>
      <rPr>
        <b/>
        <i/>
        <sz val="10"/>
        <color theme="1"/>
        <rFont val="Calibri"/>
        <family val="2"/>
      </rPr>
      <t>Trendlyne</t>
    </r>
    <r>
      <rPr>
        <i/>
        <sz val="10"/>
        <color theme="1"/>
        <rFont val="Calibri"/>
        <family val="2"/>
      </rPr>
      <t xml:space="preserve"> to maintain consistency in risk estimation.</t>
    </r>
  </si>
  <si>
    <r>
      <t xml:space="preserve">7. Historical Stock CAGR has been used as the base reference for estimating future returns. A </t>
    </r>
    <r>
      <rPr>
        <b/>
        <i/>
        <sz val="10"/>
        <color theme="1"/>
        <rFont val="Calibri"/>
        <family val="2"/>
      </rPr>
      <t>Growth Sustainability Factor (Adjustment Factor)</t>
    </r>
    <r>
      <rPr>
        <i/>
        <sz val="10"/>
        <color theme="1"/>
        <rFont val="Calibri"/>
        <family val="2"/>
      </rPr>
      <t xml:space="preserve"> was applied after evaluating:</t>
    </r>
  </si>
  <si>
    <t>Risk Analysis &amp; Inference</t>
  </si>
  <si>
    <t>Portfolio Beta = 0.897</t>
  </si>
  <si>
    <t>Expected Portfolio CAGR = 18%</t>
  </si>
  <si>
    <t>Sharpe Ratio = 1.649</t>
  </si>
  <si>
    <t>Treynor Ratio = 0.133</t>
  </si>
  <si>
    <t>The positive Treynor Ratio indicates that the portfolio provides adequate excess return relative to the level of systematic market risk assumed.</t>
  </si>
  <si>
    <t>Jensen's Alpha = 7.69%</t>
  </si>
  <si>
    <t>The positive alpha suggests that the portfolio is expected to outperform the return predicted by CAPM, reflecting effective stock selection and portfolio construction.</t>
  </si>
  <si>
    <t>Projected Portfolio Value = ₹3.32 Crore</t>
  </si>
  <si>
    <t>Key Assumptions</t>
  </si>
  <si>
    <t>All investments are made at June 2025 market prices.</t>
  </si>
  <si>
    <t>Transaction costs, taxes and inflation have not been considered unless explicitly specified in the problem statement.</t>
  </si>
  <si>
    <t>Expected CAGR represents the Investment Committee's forward-looking estimate and should not be interpreted as a guaranteed return.</t>
  </si>
  <si>
    <r>
      <t xml:space="preserve">The portfolio has a beta close to </t>
    </r>
    <r>
      <rPr>
        <b/>
        <i/>
        <sz val="10"/>
        <color theme="1"/>
        <rFont val="Calibri"/>
        <family val="2"/>
      </rPr>
      <t>1</t>
    </r>
    <r>
      <rPr>
        <i/>
        <sz val="10"/>
        <color theme="1"/>
        <rFont val="Calibri"/>
        <family val="2"/>
      </rPr>
      <t>, indicating that it is expected to move broadly in line with the market while maintaining controlled systematic risk through diversification.</t>
    </r>
  </si>
  <si>
    <r>
      <t xml:space="preserve">The expected portfolio return is closely aligned with the required CAGR of </t>
    </r>
    <r>
      <rPr>
        <b/>
        <i/>
        <sz val="10"/>
        <color theme="1"/>
        <rFont val="Calibri"/>
        <family val="2"/>
      </rPr>
      <t>18.35%</t>
    </r>
    <r>
      <rPr>
        <i/>
        <sz val="10"/>
        <color theme="1"/>
        <rFont val="Calibri"/>
        <family val="2"/>
      </rPr>
      <t>, indicating that the proposed strategy is capable of achieving the client's long-term financial objectives under the ideal scenario.</t>
    </r>
  </si>
  <si>
    <r>
      <t xml:space="preserve">A Sharpe Ratio greater than </t>
    </r>
    <r>
      <rPr>
        <b/>
        <i/>
        <sz val="10"/>
        <color theme="1"/>
        <rFont val="Calibri"/>
        <family val="2"/>
      </rPr>
      <t>1</t>
    </r>
    <r>
      <rPr>
        <i/>
        <sz val="10"/>
        <color theme="1"/>
        <rFont val="Calibri"/>
        <family val="2"/>
      </rPr>
      <t xml:space="preserve"> indicates strong risk-adjusted performance, suggesting that the portfolio generates attractive excess returns for the level of total risk undertaken.</t>
    </r>
  </si>
  <si>
    <r>
      <t xml:space="preserve">The projected portfolio value exceeds the client's minimum required wealth of </t>
    </r>
    <r>
      <rPr>
        <b/>
        <i/>
        <sz val="10"/>
        <color theme="1"/>
        <rFont val="Calibri"/>
        <family val="2"/>
      </rPr>
      <t>₹3.08 Crore</t>
    </r>
    <r>
      <rPr>
        <i/>
        <sz val="10"/>
        <color theme="1"/>
        <rFont val="Calibri"/>
        <family val="2"/>
      </rPr>
      <t xml:space="preserve">, providing an estimated surplus of approximately </t>
    </r>
    <r>
      <rPr>
        <b/>
        <i/>
        <sz val="10"/>
        <color theme="1"/>
        <rFont val="Calibri"/>
        <family val="2"/>
      </rPr>
      <t>₹24 lakh</t>
    </r>
    <r>
      <rPr>
        <i/>
        <sz val="10"/>
        <color theme="1"/>
        <rFont val="Calibri"/>
        <family val="2"/>
      </rPr>
      <t xml:space="preserve"> under the ideal market scenario.</t>
    </r>
  </si>
  <si>
    <r>
      <t xml:space="preserve">Portfolio construction date: </t>
    </r>
    <r>
      <rPr>
        <b/>
        <i/>
        <sz val="10"/>
        <color theme="1"/>
        <rFont val="Calibri"/>
        <family val="2"/>
      </rPr>
      <t>June 2025</t>
    </r>
  </si>
  <si>
    <r>
      <t xml:space="preserve">Investment horizon: </t>
    </r>
    <r>
      <rPr>
        <b/>
        <i/>
        <sz val="10"/>
        <color theme="1"/>
        <rFont val="Calibri"/>
        <family val="2"/>
      </rPr>
      <t>8 years</t>
    </r>
  </si>
  <si>
    <t>Projected Value (Apr 2028)</t>
  </si>
  <si>
    <t>Projected Returns at the end of Apr 2028</t>
  </si>
  <si>
    <t xml:space="preserve">Amara Raja Energy &amp; Mobility </t>
  </si>
  <si>
    <t>Previous Allocation (%)</t>
  </si>
  <si>
    <t>Updated Allocation(%)</t>
  </si>
  <si>
    <t>Current Price (May 2028)</t>
  </si>
  <si>
    <t>Projected Value (Dec 2030)</t>
  </si>
  <si>
    <t xml:space="preserve">Comment </t>
  </si>
  <si>
    <t>Large investment in transmission infrastructure and EV charging network expansion.</t>
  </si>
  <si>
    <t>Strong participation in New Energy, battery ecosystem and green hydrogen.</t>
  </si>
  <si>
    <t>Higher industrial capex and infrastructure demand.</t>
  </si>
  <si>
    <t>Direct exposure to EV software, automotive electronics and mobility solutions.</t>
  </si>
  <si>
    <t>Exide Industries</t>
  </si>
  <si>
    <t>Lithium-ion cell manufacturing becomes a core growth driver. Historical CAGR understates future potential.</t>
  </si>
  <si>
    <t>Amara Raja Energy &amp; Mobility</t>
  </si>
  <si>
    <t>Historic stock CAGR reflects legacy business; future outlook changes significantly due to lithium-ion and energy storage investments.</t>
  </si>
  <si>
    <t xml:space="preserve">No major change </t>
  </si>
  <si>
    <t>Strategic Change :</t>
  </si>
  <si>
    <t xml:space="preserve">Reducing the risk through investing less in mid and small cap companies </t>
  </si>
  <si>
    <t xml:space="preserve">Category </t>
  </si>
  <si>
    <t xml:space="preserve">Large </t>
  </si>
  <si>
    <t xml:space="preserve">Mid </t>
  </si>
  <si>
    <t>Small</t>
  </si>
  <si>
    <t>Phase 1</t>
  </si>
  <si>
    <t>Phase 2</t>
  </si>
  <si>
    <t xml:space="preserve">Phase 3 </t>
  </si>
  <si>
    <t xml:space="preserve">Gold </t>
  </si>
  <si>
    <t>Bond</t>
  </si>
  <si>
    <t>Energy, Oil &amp; Gas / New Energy &amp; Digital Infrastructure</t>
  </si>
  <si>
    <t>Larsen &amp; Toubro (L&amp;T)</t>
  </si>
  <si>
    <t>Infrastructure, Capital Goods &amp; Engineering</t>
  </si>
  <si>
    <t>Hindustan Unilever (HUL)</t>
  </si>
  <si>
    <t>Sun Pharmaceutical Industries</t>
  </si>
  <si>
    <t>Pharmaceuticals &amp; Healthcare</t>
  </si>
  <si>
    <t>Battery Manufacturing &amp; Energy Storage</t>
  </si>
  <si>
    <t>Defence Electronics &amp; Aerospace Technology</t>
  </si>
  <si>
    <t>Battery Manufacturing &amp; EV Energy Solutions</t>
  </si>
  <si>
    <t>Commodity (Gold ETF)</t>
  </si>
  <si>
    <t xml:space="preserve">Investment amount after Downpayment </t>
  </si>
  <si>
    <t>Current Price (Jan 2031)</t>
  </si>
  <si>
    <t>Projected Value (Jun 2033)</t>
  </si>
  <si>
    <t>Adjustment Factor(for 8 years)</t>
  </si>
  <si>
    <t xml:space="preserve">Downpayment </t>
  </si>
  <si>
    <t xml:space="preserve">Total Returns </t>
  </si>
  <si>
    <t>Ideal Case (8Y)</t>
  </si>
  <si>
    <t>Phase 1 (2025-28)</t>
  </si>
  <si>
    <t>Phase 2 Lithium (2028-31)</t>
  </si>
  <si>
    <t>Phase 3 Tech Sovereignty (2031-33)</t>
  </si>
  <si>
    <r>
      <t>1.05</t>
    </r>
    <r>
      <rPr>
        <sz val="11"/>
        <color theme="1"/>
        <rFont val="Calibri"/>
        <family val="2"/>
      </rPr>
      <t xml:space="preserve"> – Long-term credit growth, stable earnings support historical CAGR continuation.</t>
    </r>
  </si>
  <si>
    <r>
      <t>1.05</t>
    </r>
    <r>
      <rPr>
        <sz val="11"/>
        <color theme="1"/>
        <rFont val="Calibri"/>
        <family val="2"/>
      </rPr>
      <t xml:space="preserve"> – Similar growth visibility maintained over shorter period.</t>
    </r>
  </si>
  <si>
    <r>
      <t>1.10</t>
    </r>
    <r>
      <rPr>
        <sz val="11"/>
        <color theme="1"/>
        <rFont val="Calibri"/>
        <family val="2"/>
      </rPr>
      <t xml:space="preserve"> – Manufacturing growth improves corporate lending opportunities.</t>
    </r>
  </si>
  <si>
    <r>
      <t>1.05</t>
    </r>
    <r>
      <rPr>
        <sz val="11"/>
        <color theme="1"/>
        <rFont val="Calibri"/>
        <family val="2"/>
      </rPr>
      <t xml:space="preserve"> – Mature banking franchise continues stable compounding.</t>
    </r>
  </si>
  <si>
    <r>
      <t>0.95</t>
    </r>
    <r>
      <rPr>
        <sz val="11"/>
        <color theme="1"/>
        <rFont val="Calibri"/>
        <family val="2"/>
      </rPr>
      <t xml:space="preserve"> – Strong past performance but valuation rerating expected to normalize.</t>
    </r>
  </si>
  <si>
    <r>
      <t>1.00</t>
    </r>
    <r>
      <rPr>
        <sz val="11"/>
        <color theme="1"/>
        <rFont val="Calibri"/>
        <family val="2"/>
      </rPr>
      <t xml:space="preserve"> – Banking momentum expected to continue over 3Y.</t>
    </r>
  </si>
  <si>
    <r>
      <t>1.05</t>
    </r>
    <r>
      <rPr>
        <sz val="11"/>
        <color theme="1"/>
        <rFont val="Calibri"/>
        <family val="2"/>
      </rPr>
      <t xml:space="preserve"> – Higher capex cycle supports loan growth.</t>
    </r>
  </si>
  <si>
    <r>
      <t>1.00</t>
    </r>
    <r>
      <rPr>
        <sz val="11"/>
        <color theme="1"/>
        <rFont val="Calibri"/>
        <family val="2"/>
      </rPr>
      <t xml:space="preserve"> – Strong fundamentals support historical growth continuation.</t>
    </r>
  </si>
  <si>
    <r>
      <t>1.00</t>
    </r>
    <r>
      <rPr>
        <sz val="11"/>
        <color theme="1"/>
        <rFont val="Calibri"/>
        <family val="2"/>
      </rPr>
      <t xml:space="preserve"> – Mature IT leader; historical growth considered sustainable.</t>
    </r>
  </si>
  <si>
    <r>
      <t>1.00</t>
    </r>
    <r>
      <rPr>
        <sz val="11"/>
        <color theme="1"/>
        <rFont val="Calibri"/>
        <family val="2"/>
      </rPr>
      <t xml:space="preserve"> – Cloud/AI demand maintains growth trajectory.</t>
    </r>
  </si>
  <si>
    <r>
      <t>1.00</t>
    </r>
    <r>
      <rPr>
        <sz val="11"/>
        <color theme="1"/>
        <rFont val="Calibri"/>
        <family val="2"/>
      </rPr>
      <t xml:space="preserve"> – No direct lithium impact.</t>
    </r>
  </si>
  <si>
    <r>
      <t>1.00</t>
    </r>
    <r>
      <rPr>
        <sz val="11"/>
        <color theme="1"/>
        <rFont val="Calibri"/>
        <family val="2"/>
      </rPr>
      <t xml:space="preserve"> – Low tariff exposure due to service-driven model.</t>
    </r>
  </si>
  <si>
    <r>
      <t>1.08</t>
    </r>
    <r>
      <rPr>
        <sz val="11"/>
        <color theme="1"/>
        <rFont val="Calibri"/>
        <family val="2"/>
      </rPr>
      <t xml:space="preserve"> – AI adoption and digital transformation provide upside.</t>
    </r>
  </si>
  <si>
    <r>
      <t>1.08</t>
    </r>
    <r>
      <rPr>
        <sz val="11"/>
        <color theme="1"/>
        <rFont val="Calibri"/>
        <family val="2"/>
      </rPr>
      <t xml:space="preserve"> – Enterprise digital spending supports near-term growth.</t>
    </r>
  </si>
  <si>
    <r>
      <t>1.08</t>
    </r>
    <r>
      <rPr>
        <sz val="11"/>
        <color theme="1"/>
        <rFont val="Calibri"/>
        <family val="2"/>
      </rPr>
      <t xml:space="preserve"> – Technology demand remains unchanged.</t>
    </r>
  </si>
  <si>
    <r>
      <t>1.00</t>
    </r>
    <r>
      <rPr>
        <sz val="11"/>
        <color theme="1"/>
        <rFont val="Calibri"/>
        <family val="2"/>
      </rPr>
      <t xml:space="preserve"> – Growth normalized as mature IT player.</t>
    </r>
  </si>
  <si>
    <r>
      <t>1.05</t>
    </r>
    <r>
      <rPr>
        <sz val="11"/>
        <color theme="1"/>
        <rFont val="Calibri"/>
        <family val="2"/>
      </rPr>
      <t xml:space="preserve"> – Renewable transmission expansion supports growth.</t>
    </r>
  </si>
  <si>
    <r>
      <t>1.10</t>
    </r>
    <r>
      <rPr>
        <sz val="11"/>
        <color theme="1"/>
        <rFont val="Calibri"/>
        <family val="2"/>
      </rPr>
      <t xml:space="preserve"> – Infrastructure spending improves near-term visibility.</t>
    </r>
  </si>
  <si>
    <r>
      <t>1.20</t>
    </r>
    <r>
      <rPr>
        <sz val="11"/>
        <color theme="1"/>
        <rFont val="Calibri"/>
        <family val="2"/>
      </rPr>
      <t xml:space="preserve"> – EV ecosystem increases power transmission demand.</t>
    </r>
  </si>
  <si>
    <r>
      <t>1.15</t>
    </r>
    <r>
      <rPr>
        <sz val="11"/>
        <color theme="1"/>
        <rFont val="Calibri"/>
        <family val="2"/>
      </rPr>
      <t xml:space="preserve"> – Grid modernization benefits from domestic infrastructure focus.</t>
    </r>
  </si>
  <si>
    <r>
      <t>0.95</t>
    </r>
    <r>
      <rPr>
        <sz val="11"/>
        <color theme="1"/>
        <rFont val="Calibri"/>
        <family val="2"/>
      </rPr>
      <t xml:space="preserve"> – Large size limits repeating historical high growth.</t>
    </r>
  </si>
  <si>
    <r>
      <t>1.00</t>
    </r>
    <r>
      <rPr>
        <sz val="11"/>
        <color theme="1"/>
        <rFont val="Calibri"/>
        <family val="2"/>
      </rPr>
      <t xml:space="preserve"> – Jio, retail and new energy support continuation.</t>
    </r>
  </si>
  <si>
    <r>
      <t>1.10</t>
    </r>
    <r>
      <rPr>
        <sz val="11"/>
        <color theme="1"/>
        <rFont val="Calibri"/>
        <family val="2"/>
      </rPr>
      <t xml:space="preserve"> – Lithium ecosystem and energy transition improve outlook.</t>
    </r>
  </si>
  <si>
    <r>
      <t>1.05</t>
    </r>
    <r>
      <rPr>
        <sz val="11"/>
        <color theme="1"/>
        <rFont val="Calibri"/>
        <family val="2"/>
      </rPr>
      <t xml:space="preserve"> – Domestic manufacturing initiatives support growth.</t>
    </r>
  </si>
  <si>
    <r>
      <t>1.15</t>
    </r>
    <r>
      <rPr>
        <sz val="11"/>
        <color theme="1"/>
        <rFont val="Calibri"/>
        <family val="2"/>
      </rPr>
      <t xml:space="preserve"> – FMCG expansion and restructuring improve future prospects.</t>
    </r>
  </si>
  <si>
    <r>
      <t>1.10</t>
    </r>
    <r>
      <rPr>
        <sz val="11"/>
        <color theme="1"/>
        <rFont val="Calibri"/>
        <family val="2"/>
      </rPr>
      <t xml:space="preserve"> – Consumption growth continues but upside limited.</t>
    </r>
  </si>
  <si>
    <t>NIL</t>
  </si>
  <si>
    <r>
      <t>0.84</t>
    </r>
    <r>
      <rPr>
        <sz val="11"/>
        <color theme="1"/>
        <rFont val="Calibri"/>
        <family val="2"/>
      </rPr>
      <t xml:space="preserve"> – High growth company, but sustaining 30%+ CAGR for 8Y unlikely.</t>
    </r>
  </si>
  <si>
    <r>
      <t>0.95</t>
    </r>
    <r>
      <rPr>
        <sz val="11"/>
        <color theme="1"/>
        <rFont val="Calibri"/>
        <family val="2"/>
      </rPr>
      <t xml:space="preserve"> – AI/digital engineering momentum can sustain in shorter horizon.</t>
    </r>
  </si>
  <si>
    <r>
      <t>0.95</t>
    </r>
    <r>
      <rPr>
        <sz val="11"/>
        <color theme="1"/>
        <rFont val="Calibri"/>
        <family val="2"/>
      </rPr>
      <t xml:space="preserve"> – Limited lithium impact; IT growth continues.</t>
    </r>
  </si>
  <si>
    <r>
      <t>0.85</t>
    </r>
    <r>
      <rPr>
        <sz val="11"/>
        <color theme="1"/>
        <rFont val="Calibri"/>
        <family val="2"/>
      </rPr>
      <t xml:space="preserve"> – Strong company but growth normalizes with scale.</t>
    </r>
  </si>
  <si>
    <r>
      <t>1.08</t>
    </r>
    <r>
      <rPr>
        <sz val="11"/>
        <color theme="1"/>
        <rFont val="Calibri"/>
        <family val="2"/>
      </rPr>
      <t xml:space="preserve"> – Manufacturing cycle and exports support growth.</t>
    </r>
  </si>
  <si>
    <r>
      <t>1.15</t>
    </r>
    <r>
      <rPr>
        <sz val="11"/>
        <color theme="1"/>
        <rFont val="Calibri"/>
        <family val="2"/>
      </rPr>
      <t xml:space="preserve"> – Strong industrial capex cycle.</t>
    </r>
  </si>
  <si>
    <r>
      <t>1.20</t>
    </r>
    <r>
      <rPr>
        <sz val="11"/>
        <color theme="1"/>
        <rFont val="Calibri"/>
        <family val="2"/>
      </rPr>
      <t xml:space="preserve"> – Domestic manufacturing acceleration increases demand.</t>
    </r>
  </si>
  <si>
    <r>
      <t>1.10</t>
    </r>
    <r>
      <rPr>
        <sz val="11"/>
        <color theme="1"/>
        <rFont val="Calibri"/>
        <family val="2"/>
      </rPr>
      <t xml:space="preserve"> – Tech Sovereignty supports industrial ecosystem.</t>
    </r>
  </si>
  <si>
    <r>
      <t>0.90</t>
    </r>
    <r>
      <rPr>
        <sz val="11"/>
        <color theme="1"/>
        <rFont val="Calibri"/>
        <family val="2"/>
      </rPr>
      <t xml:space="preserve"> – EV theme positive but premium valuation limits upside.</t>
    </r>
  </si>
  <si>
    <r>
      <t>1.00</t>
    </r>
    <r>
      <rPr>
        <sz val="11"/>
        <color theme="1"/>
        <rFont val="Calibri"/>
        <family val="2"/>
      </rPr>
      <t xml:space="preserve"> – EV software demand supports near-term growth.</t>
    </r>
  </si>
  <si>
    <r>
      <t>1.15</t>
    </r>
    <r>
      <rPr>
        <sz val="11"/>
        <color theme="1"/>
        <rFont val="Calibri"/>
        <family val="2"/>
      </rPr>
      <t xml:space="preserve"> – Lithium adoption accelerates automotive R&amp;D demand.</t>
    </r>
  </si>
  <si>
    <r>
      <t>0.95</t>
    </r>
    <r>
      <rPr>
        <sz val="11"/>
        <color theme="1"/>
        <rFont val="Calibri"/>
        <family val="2"/>
      </rPr>
      <t xml:space="preserve"> – EV growth continues but component disruption creates pressure.</t>
    </r>
  </si>
  <si>
    <r>
      <t>1.15</t>
    </r>
    <r>
      <rPr>
        <sz val="11"/>
        <color theme="1"/>
        <rFont val="Calibri"/>
        <family val="2"/>
      </rPr>
      <t xml:space="preserve"> – Defence indigenization supports long-term growth.</t>
    </r>
  </si>
  <si>
    <r>
      <t>1.25</t>
    </r>
    <r>
      <rPr>
        <sz val="11"/>
        <color theme="1"/>
        <rFont val="Calibri"/>
        <family val="2"/>
      </rPr>
      <t xml:space="preserve"> – Defence spending and low base enable higher growth continuation.</t>
    </r>
  </si>
  <si>
    <r>
      <t>1.20</t>
    </r>
    <r>
      <rPr>
        <sz val="11"/>
        <color theme="1"/>
        <rFont val="Calibri"/>
        <family val="2"/>
      </rPr>
      <t xml:space="preserve"> – Domestic electronics demand remains supportive.</t>
    </r>
  </si>
  <si>
    <r>
      <t>1.15</t>
    </r>
    <r>
      <rPr>
        <sz val="11"/>
        <color theme="1"/>
        <rFont val="Calibri"/>
        <family val="2"/>
      </rPr>
      <t xml:space="preserve"> – Tech Sovereignty benefits defence electronics.</t>
    </r>
  </si>
  <si>
    <r>
      <t>0.80</t>
    </r>
    <r>
      <rPr>
        <sz val="11"/>
        <color theme="1"/>
        <rFont val="Calibri"/>
        <family val="2"/>
      </rPr>
      <t xml:space="preserve"> – Strong pharma growth but long-term CAGR normalizes.</t>
    </r>
  </si>
  <si>
    <r>
      <t>0.90</t>
    </r>
    <r>
      <rPr>
        <sz val="11"/>
        <color theme="1"/>
        <rFont val="Calibri"/>
        <family val="2"/>
      </rPr>
      <t xml:space="preserve"> – CDMO/API growth momentum continues over shorter period.</t>
    </r>
  </si>
  <si>
    <r>
      <t>0.80</t>
    </r>
    <r>
      <rPr>
        <sz val="11"/>
        <color theme="1"/>
        <rFont val="Calibri"/>
        <family val="2"/>
      </rPr>
      <t xml:space="preserve"> – Pharma independent of lithium; growth normalized.</t>
    </r>
  </si>
  <si>
    <r>
      <t>0.72</t>
    </r>
    <r>
      <rPr>
        <sz val="11"/>
        <color theme="1"/>
        <rFont val="Calibri"/>
        <family val="2"/>
      </rPr>
      <t xml:space="preserve"> – Exceptional growth unlikely to sustain for 8Y.</t>
    </r>
  </si>
  <si>
    <r>
      <t>0.95</t>
    </r>
    <r>
      <rPr>
        <sz val="11"/>
        <color theme="1"/>
        <rFont val="Calibri"/>
        <family val="2"/>
      </rPr>
      <t xml:space="preserve"> – Railway/defence momentum supports near-term growth.</t>
    </r>
  </si>
  <si>
    <r>
      <t>1.10</t>
    </r>
    <r>
      <rPr>
        <sz val="11"/>
        <color theme="1"/>
        <rFont val="Calibri"/>
        <family val="2"/>
      </rPr>
      <t xml:space="preserve"> – Electronics localization supports demand.</t>
    </r>
  </si>
  <si>
    <r>
      <t>1.05</t>
    </r>
    <r>
      <rPr>
        <sz val="11"/>
        <color theme="1"/>
        <rFont val="Calibri"/>
        <family val="2"/>
      </rPr>
      <t xml:space="preserve"> – Industrial demand supports moderate growth.</t>
    </r>
  </si>
  <si>
    <r>
      <t>1.05</t>
    </r>
    <r>
      <rPr>
        <sz val="11"/>
        <color theme="1"/>
        <rFont val="Calibri"/>
        <family val="2"/>
      </rPr>
      <t xml:space="preserve"> – Similar business outlook continues.</t>
    </r>
  </si>
  <si>
    <r>
      <t>0.70</t>
    </r>
    <r>
      <rPr>
        <sz val="11"/>
        <color theme="1"/>
        <rFont val="Calibri"/>
        <family val="2"/>
      </rPr>
      <t xml:space="preserve"> – Newly listed exceptional returns unlikely over 8Y.</t>
    </r>
  </si>
  <si>
    <r>
      <t>0.90</t>
    </r>
    <r>
      <rPr>
        <sz val="11"/>
        <color theme="1"/>
        <rFont val="Calibri"/>
        <family val="2"/>
      </rPr>
      <t xml:space="preserve"> – Wealth management growth momentum expected near term.</t>
    </r>
  </si>
  <si>
    <r>
      <t>0.90</t>
    </r>
    <r>
      <rPr>
        <sz val="11"/>
        <color theme="1"/>
        <rFont val="Calibri"/>
        <family val="2"/>
      </rPr>
      <t xml:space="preserve"> – Financialization trend continues but moderates.</t>
    </r>
  </si>
  <si>
    <r>
      <t>2.30</t>
    </r>
    <r>
      <rPr>
        <sz val="11"/>
        <color theme="1"/>
        <rFont val="Calibri"/>
        <family val="2"/>
      </rPr>
      <t xml:space="preserve"> – Lithium discovery transforms battery growth potential beyond historical CAGR.</t>
    </r>
  </si>
  <si>
    <r>
      <t>2.00</t>
    </r>
    <r>
      <rPr>
        <sz val="11"/>
        <color theme="1"/>
        <rFont val="Calibri"/>
        <family val="2"/>
      </rPr>
      <t xml:space="preserve"> – Domestic battery manufacturing benefits from import substitution.</t>
    </r>
  </si>
  <si>
    <t>Amara Raja Energy</t>
  </si>
  <si>
    <r>
      <t>11.50</t>
    </r>
    <r>
      <rPr>
        <sz val="11"/>
        <color theme="1"/>
        <rFont val="Calibri"/>
        <family val="2"/>
      </rPr>
      <t xml:space="preserve"> – Historical CAGR reflects legacy battery business; lithium creates new growth cycle.</t>
    </r>
  </si>
  <si>
    <r>
      <t>10.00</t>
    </r>
    <r>
      <rPr>
        <sz val="11"/>
        <color theme="1"/>
        <rFont val="Calibri"/>
        <family val="2"/>
      </rPr>
      <t xml:space="preserve"> – EV battery localization continues growth opportunity.</t>
    </r>
  </si>
  <si>
    <t>Larsen &amp; Toubro</t>
  </si>
  <si>
    <r>
      <t>1.15</t>
    </r>
    <r>
      <rPr>
        <sz val="11"/>
        <color theme="1"/>
        <rFont val="Calibri"/>
        <family val="2"/>
      </rPr>
      <t xml:space="preserve"> – Infrastructure, defence and domestic manufacturing benefit from Tech Sovereignty.</t>
    </r>
  </si>
  <si>
    <t>HUL</t>
  </si>
  <si>
    <r>
      <t>1.00</t>
    </r>
    <r>
      <rPr>
        <sz val="11"/>
        <color theme="1"/>
        <rFont val="Calibri"/>
        <family val="2"/>
      </rPr>
      <t xml:space="preserve"> – Stable FMCG demand and predictable earnings.</t>
    </r>
  </si>
  <si>
    <t>Sun Pharma</t>
  </si>
  <si>
    <r>
      <t>1.05</t>
    </r>
    <r>
      <rPr>
        <sz val="11"/>
        <color theme="1"/>
        <rFont val="Calibri"/>
        <family val="2"/>
      </rPr>
      <t xml:space="preserve"> – Specialty pharma growth and healthcare demand improve outlook.</t>
    </r>
  </si>
  <si>
    <r>
      <t>0.95</t>
    </r>
    <r>
      <rPr>
        <sz val="11"/>
        <color theme="1"/>
        <rFont val="Calibri"/>
        <family val="2"/>
      </rPr>
      <t xml:space="preserve"> – Historical gold returns normalized.</t>
    </r>
  </si>
  <si>
    <r>
      <t>0.95</t>
    </r>
    <r>
      <rPr>
        <sz val="11"/>
        <color theme="1"/>
        <rFont val="Calibri"/>
        <family val="2"/>
      </rPr>
      <t xml:space="preserve"> – Hedge allocation maintained.</t>
    </r>
  </si>
  <si>
    <r>
      <t>1.00</t>
    </r>
    <r>
      <rPr>
        <sz val="11"/>
        <color theme="1"/>
        <rFont val="Calibri"/>
        <family val="2"/>
      </rPr>
      <t xml:space="preserve"> – Macro uncertainty supports gold demand.</t>
    </r>
  </si>
  <si>
    <r>
      <t>1.00</t>
    </r>
    <r>
      <rPr>
        <sz val="11"/>
        <color theme="1"/>
        <rFont val="Calibri"/>
        <family val="2"/>
      </rPr>
      <t xml:space="preserve"> – Inflation and volatility protection.</t>
    </r>
  </si>
  <si>
    <r>
      <t>1.00</t>
    </r>
    <r>
      <rPr>
        <sz val="11"/>
        <color theme="1"/>
        <rFont val="Calibri"/>
        <family val="2"/>
      </rPr>
      <t xml:space="preserve"> – Yield-based predictable return.</t>
    </r>
  </si>
  <si>
    <r>
      <t>1.00</t>
    </r>
    <r>
      <rPr>
        <sz val="11"/>
        <color theme="1"/>
        <rFont val="Calibri"/>
        <family val="2"/>
      </rPr>
      <t xml:space="preserve"> – Fixed income return stability.</t>
    </r>
  </si>
  <si>
    <r>
      <t>1.00</t>
    </r>
    <r>
      <rPr>
        <sz val="11"/>
        <color theme="1"/>
        <rFont val="Calibri"/>
        <family val="2"/>
      </rPr>
      <t xml:space="preserve"> – Stable debt instrument.</t>
    </r>
  </si>
  <si>
    <r>
      <t>1.00</t>
    </r>
    <r>
      <rPr>
        <sz val="11"/>
        <color theme="1"/>
        <rFont val="Calibri"/>
        <family val="2"/>
      </rPr>
      <t xml:space="preserve"> – Capital preservation objective.</t>
    </r>
  </si>
  <si>
    <t>Projected Returns (at the end of Dec 2030)</t>
  </si>
  <si>
    <t>Tactical Rebalancing – Lithium Discovery Scenario (May 2028)</t>
  </si>
  <si>
    <t>Scenario Trigger</t>
  </si>
  <si>
    <t>In May 2028, significant lithium reserves were discovered in India, creating a major structural opportunity for the domestic EV ecosystem, battery manufacturing, renewable energy storage, and supporting infrastructure industries.</t>
  </si>
  <si>
    <t>The Investment Committee reviewed the existing portfolio to evaluate the impact of this development on future earnings growth, sector attractiveness, and company-level growth assumptions.</t>
  </si>
  <si>
    <t>Portfolio Rebalancing Strategy</t>
  </si>
  <si>
    <t>Instead of reconstructing the portfolio completely, the existing investment universe was retained as the companies had already passed fundamental screening criteria.</t>
  </si>
  <si>
    <t>The portfolio was tactically rebalanced by increasing exposure towards companies expected to benefit from the lithium value chain, while reducing allocation towards businesses with relatively lower incremental benefit from this macroeconomic development.</t>
  </si>
  <si>
    <t>Major portfolio actions:</t>
  </si>
  <si>
    <t>Increased exposure towards battery manufacturing and EV ecosystem companies.</t>
  </si>
  <si>
    <t>Added Exide Industries and Amara Raja Energy &amp; Mobility to capture lithium-ion battery opportunities.</t>
  </si>
  <si>
    <t>Increased allocation towards manufacturing, power infrastructure, and EV-related companies.</t>
  </si>
  <si>
    <t>Reduced allocation from relatively defensive sectors to improve participation in emerging growth opportunities.</t>
  </si>
  <si>
    <t>Adjustment Factor Methodology</t>
  </si>
  <si>
    <t>Adjustment factors were revised based on changes in expected business growth after the lithium discovery.</t>
  </si>
  <si>
    <t>The factor reflects:</t>
  </si>
  <si>
    <t>Industry growth potential</t>
  </si>
  <si>
    <t>Company positioning in lithium ecosystem</t>
  </si>
  <si>
    <t>Earnings growth visibility</t>
  </si>
  <si>
    <t>Ability to sustain historical CAGR</t>
  </si>
  <si>
    <t>The adjustment factor was not modified based on portfolio risk preference.</t>
  </si>
  <si>
    <t>Notes:</t>
  </si>
  <si>
    <t>Final Rebalancing – Tech Sovereignty &amp; Wealth Preservation Phase (Jan 2031)</t>
  </si>
  <si>
    <t>By December 2030, the portfolio successfully achieved the client's intermediate financial objective, allowing a ₹50 lakh withdrawal for property down payment.</t>
  </si>
  <si>
    <t>After this withdrawal, the remaining investment horizon reduced significantly, requiring a transition from aggressive wealth creation towards wealth preservation with sustainable growth.</t>
  </si>
  <si>
    <t>Additionally, in January 2031, the Government of India introduced a Tech Sovereignty Policy imposing a 30% tariff on Chinese electronics and component imports.</t>
  </si>
  <si>
    <t>This policy disrupted companies dependent on imported components but created opportunities for domestic manufacturing, infrastructure, defence electronics, and battery producers.</t>
  </si>
  <si>
    <t>The Investment Committee shifted from a growth-focused portfolio towards a defensive growth strategy.</t>
  </si>
  <si>
    <t>Portfolio changes:</t>
  </si>
  <si>
    <t>Increased allocation towards fundamentally strong large-cap companies.</t>
  </si>
  <si>
    <t>Reduced exposure to highly volatile mid-cap and small-cap companies.</t>
  </si>
  <si>
    <t>Added stable industry leaders to reduce company-specific risk.</t>
  </si>
  <si>
    <t>Maintained selective exposure to companies benefiting from domestic manufacturing.</t>
  </si>
  <si>
    <t>Major changes:</t>
  </si>
  <si>
    <t>Added Larsen &amp; Toubro for infrastructure and manufacturing exposure.</t>
  </si>
  <si>
    <t>Added Hindustan Unilever for defensive consumption stability.</t>
  </si>
  <si>
    <t>Added Sun Pharmaceutical Industries for stable healthcare exposure.</t>
  </si>
  <si>
    <t>Exited Nuvama, HBL Engineering, and Neuland after capturing significant growth.</t>
  </si>
  <si>
    <t>Adjustment factors were updated only according to changes in expected company performance due to:</t>
  </si>
  <si>
    <t>Tech Sovereignty Policy impact</t>
  </si>
  <si>
    <t>Industry outlook</t>
  </si>
  <si>
    <t>Future growth drivers</t>
  </si>
  <si>
    <t>Business maturity</t>
  </si>
  <si>
    <t>Growth sustainability</t>
  </si>
  <si>
    <t>Portfolio risk reduction was handled separately through allocation changes.</t>
  </si>
  <si>
    <t>Historical CAGR</t>
  </si>
  <si>
    <t>Rationale</t>
  </si>
  <si>
    <t>Strong credit growth, digital banking expansion, stable valuation, long runway for financialization.</t>
  </si>
  <si>
    <t>Excellent fundamentals but already rerated significantly; moderate valuation compression risk.</t>
  </si>
  <si>
    <t>AI, cloud transformation and digital engineering expected to support steady long-term growth.</t>
  </si>
  <si>
    <t>Continued enterprise digital transformation with moderate upside from AI adoption.</t>
  </si>
  <si>
    <t>Grid modernization, renewable integration and transmission capex provide visibility.</t>
  </si>
  <si>
    <t>Large diversified conglomerate; future growth balanced by already high expectations.</t>
  </si>
  <si>
    <t>FMCG expansion, hotels demerger and stronger non-cigarette business improve outlook.</t>
  </si>
  <si>
    <t>AI and digital engineering remain strong, but sustaining 30%+ CAGR for another 8 years is unlikely.</t>
  </si>
  <si>
    <t>Manufacturing capex cycle, power backup demand and export opportunities remain favourable.</t>
  </si>
  <si>
    <t>Strong EV/software theme but premium valuation suggests modest moderation.</t>
  </si>
  <si>
    <t>Defence indigenisation, increasing defence spending and export potential.</t>
  </si>
  <si>
    <t>Specialty pharma has excellent long-term prospects, but historical outperformance is unlikely to repeat fully.</t>
  </si>
  <si>
    <t>Railway signalling and defence remain attractive, but recent explosive growth is expected to normalize.</t>
  </si>
  <si>
    <t>Industrial capex recovery and infrastructure demand support moderate improvement.</t>
  </si>
  <si>
    <t>Newly listed company; early-stage listing returns shouldn't be extrapolated over an eight-year horizon.</t>
  </si>
  <si>
    <t>Long-term hedge against inflation and geopolitical uncertainty; expected to track gold prices.</t>
  </si>
  <si>
    <t>Fixed-income instrument; returns largely driven by coupon yield and interest rate movements.</t>
  </si>
  <si>
    <t xml:space="preserve">Final Results </t>
  </si>
  <si>
    <t>Portfolio Beta</t>
  </si>
  <si>
    <t xml:space="preserve">Portfolio Return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</si>
</sst>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quot;₹&quot;\ #,##0.0"/>
    <numFmt numFmtId="166" formatCode="0&quot;Y&quot;"/>
    <numFmt numFmtId="167" formatCode="&quot;₹&quot;\ #,##0.00"/>
    <numFmt numFmtId="168" formatCode="&quot;₹&quot;\ #,##0"/>
  </numFmts>
  <fonts count="15" x14ac:knownFonts="1">
    <font>
      <sz val="11"/>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b/>
      <i/>
      <sz val="11"/>
      <color theme="1"/>
      <name val="Calibri"/>
      <family val="2"/>
    </font>
    <font>
      <b/>
      <sz val="24"/>
      <color theme="1"/>
      <name val="Calibri"/>
      <family val="2"/>
    </font>
    <font>
      <b/>
      <i/>
      <sz val="10"/>
      <color theme="1"/>
      <name val="Calibri"/>
      <family val="2"/>
    </font>
    <font>
      <i/>
      <sz val="10"/>
      <color theme="1"/>
      <name val="Calibri"/>
      <family val="2"/>
    </font>
    <font>
      <sz val="11"/>
      <color theme="0"/>
      <name val="Calibri"/>
      <family val="2"/>
    </font>
    <font>
      <sz val="16"/>
      <color theme="0"/>
      <name val="Calibri"/>
      <family val="2"/>
    </font>
    <font>
      <sz val="10"/>
      <color theme="1"/>
      <name val="Calibri"/>
      <family val="2"/>
    </font>
    <font>
      <b/>
      <i/>
      <sz val="14"/>
      <color theme="1"/>
      <name val="Calibri"/>
      <family val="2"/>
    </font>
    <font>
      <b/>
      <i/>
      <sz val="12"/>
      <color theme="1"/>
      <name val="Calibri"/>
      <family val="2"/>
    </font>
    <font>
      <sz val="8"/>
      <color rgb="FF0F172A"/>
      <name val="Segoe UI"/>
      <family val="2"/>
    </font>
  </fonts>
  <fills count="13">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8" tint="-0.49998474074526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rgb="FF00B0F0"/>
        <bgColor indexed="64"/>
      </patternFill>
    </fill>
  </fills>
  <borders count="12">
    <border>
      <left/>
      <right/>
      <top/>
      <bottom/>
      <diagonal/>
    </border>
    <border>
      <left/>
      <right/>
      <top style="medium">
        <color auto="1"/>
      </top>
      <bottom style="thick">
        <color auto="1"/>
      </bottom>
      <diagonal/>
    </border>
    <border>
      <left/>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medium">
        <color auto="1"/>
      </top>
      <bottom style="medium">
        <color auto="1"/>
      </bottom>
      <diagonal/>
    </border>
  </borders>
  <cellStyleXfs count="2">
    <xf numFmtId="0" fontId="0" fillId="0" borderId="0"/>
    <xf numFmtId="9" fontId="1" fillId="0" borderId="0" applyFont="0" applyFill="0" applyBorder="0" applyAlignment="0" applyProtection="0"/>
  </cellStyleXfs>
  <cellXfs count="149">
    <xf numFmtId="0" fontId="0" fillId="0" borderId="0" xfId="0"/>
    <xf numFmtId="10" fontId="0" fillId="0" borderId="0" xfId="1" applyNumberFormat="1" applyFont="1"/>
    <xf numFmtId="0" fontId="0" fillId="0" borderId="0" xfId="0"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2" fontId="3" fillId="0" borderId="0" xfId="0" applyNumberFormat="1" applyFont="1" applyAlignment="1">
      <alignment horizontal="center" vertical="center" wrapText="1"/>
    </xf>
    <xf numFmtId="1" fontId="0" fillId="0" borderId="0" xfId="0" applyNumberFormat="1"/>
    <xf numFmtId="9" fontId="0" fillId="0" borderId="0" xfId="0" applyNumberFormat="1"/>
    <xf numFmtId="0" fontId="4" fillId="0" borderId="0" xfId="0" applyFont="1"/>
    <xf numFmtId="0" fontId="5" fillId="0" borderId="0" xfId="0" applyFont="1"/>
    <xf numFmtId="0" fontId="4" fillId="0" borderId="0" xfId="0" applyFont="1" applyAlignment="1">
      <alignment horizontal="left" vertical="center" indent="1"/>
    </xf>
    <xf numFmtId="0" fontId="5" fillId="0" borderId="0" xfId="0" applyFont="1" applyAlignment="1">
      <alignment horizontal="left" vertical="center" indent="1"/>
    </xf>
    <xf numFmtId="0" fontId="4" fillId="0" borderId="0" xfId="0" applyFont="1" applyAlignment="1">
      <alignment horizontal="left" vertical="center" indent="2"/>
    </xf>
    <xf numFmtId="0" fontId="5" fillId="0" borderId="0" xfId="0" applyFont="1" applyAlignment="1">
      <alignment vertical="center"/>
    </xf>
    <xf numFmtId="0" fontId="0" fillId="2" borderId="0" xfId="0" applyFill="1" applyAlignment="1">
      <alignment vertical="center" wrapText="1"/>
    </xf>
    <xf numFmtId="10" fontId="0" fillId="2" borderId="0" xfId="0" applyNumberFormat="1" applyFill="1" applyAlignment="1">
      <alignment horizontal="right" vertical="center" wrapText="1"/>
    </xf>
    <xf numFmtId="0" fontId="0" fillId="2" borderId="0" xfId="0" applyFill="1" applyAlignment="1">
      <alignment horizontal="right" vertical="center" wrapText="1"/>
    </xf>
    <xf numFmtId="0" fontId="3" fillId="2" borderId="0" xfId="0" applyFont="1" applyFill="1" applyAlignment="1">
      <alignment horizontal="right" vertical="center" wrapText="1"/>
    </xf>
    <xf numFmtId="0" fontId="0" fillId="3" borderId="0" xfId="0" applyFill="1" applyAlignment="1">
      <alignment vertical="center" wrapText="1"/>
    </xf>
    <xf numFmtId="10" fontId="0" fillId="3" borderId="0" xfId="0" applyNumberFormat="1" applyFill="1" applyAlignment="1">
      <alignment horizontal="right" vertical="center" wrapText="1"/>
    </xf>
    <xf numFmtId="0" fontId="0" fillId="3" borderId="0" xfId="0" applyFill="1" applyAlignment="1">
      <alignment horizontal="right" vertical="center" wrapText="1"/>
    </xf>
    <xf numFmtId="0" fontId="3" fillId="3" borderId="0" xfId="0" applyFont="1" applyFill="1" applyAlignment="1">
      <alignment horizontal="right" vertical="center" wrapText="1"/>
    </xf>
    <xf numFmtId="0" fontId="0" fillId="4" borderId="0" xfId="0" applyFill="1" applyAlignment="1">
      <alignment vertical="center" wrapText="1"/>
    </xf>
    <xf numFmtId="10" fontId="0" fillId="4" borderId="0" xfId="0" applyNumberFormat="1" applyFill="1" applyAlignment="1">
      <alignment horizontal="right" vertical="center" wrapText="1"/>
    </xf>
    <xf numFmtId="0" fontId="0" fillId="4" borderId="0" xfId="0" applyFill="1" applyAlignment="1">
      <alignment horizontal="right" vertical="center" wrapText="1"/>
    </xf>
    <xf numFmtId="0" fontId="3" fillId="4" borderId="0" xfId="0" applyFont="1" applyFill="1" applyAlignment="1">
      <alignment horizontal="right" vertical="center" wrapText="1"/>
    </xf>
    <xf numFmtId="0" fontId="0" fillId="3" borderId="0" xfId="0" applyFill="1"/>
    <xf numFmtId="0" fontId="0" fillId="2" borderId="0" xfId="0" applyFill="1"/>
    <xf numFmtId="0" fontId="0" fillId="4" borderId="0" xfId="0" applyFill="1"/>
    <xf numFmtId="0" fontId="0" fillId="0" borderId="0" xfId="0" applyAlignment="1">
      <alignment horizontal="left"/>
    </xf>
    <xf numFmtId="0" fontId="3" fillId="0" borderId="1" xfId="0" applyFont="1" applyBorder="1" applyAlignment="1">
      <alignment horizontal="center" vertical="center" wrapText="1"/>
    </xf>
    <xf numFmtId="0" fontId="3" fillId="0" borderId="1" xfId="0" applyFont="1" applyBorder="1"/>
    <xf numFmtId="10" fontId="3" fillId="0" borderId="1" xfId="0" applyNumberFormat="1" applyFont="1" applyBorder="1"/>
    <xf numFmtId="167" fontId="3" fillId="0" borderId="1" xfId="0" applyNumberFormat="1" applyFont="1" applyBorder="1"/>
    <xf numFmtId="0" fontId="3" fillId="5" borderId="0" xfId="0" applyFont="1" applyFill="1"/>
    <xf numFmtId="165" fontId="3" fillId="5" borderId="0" xfId="0" applyNumberFormat="1" applyFont="1" applyFill="1"/>
    <xf numFmtId="10" fontId="3" fillId="5" borderId="0" xfId="0" applyNumberFormat="1" applyFont="1" applyFill="1"/>
    <xf numFmtId="166" fontId="3" fillId="5" borderId="0" xfId="0" applyNumberFormat="1" applyFont="1" applyFill="1"/>
    <xf numFmtId="0" fontId="3" fillId="0" borderId="2" xfId="0" applyFont="1" applyBorder="1"/>
    <xf numFmtId="9" fontId="3" fillId="0" borderId="2" xfId="0" applyNumberFormat="1" applyFont="1" applyBorder="1"/>
    <xf numFmtId="10" fontId="3" fillId="0" borderId="2" xfId="0" applyNumberFormat="1" applyFont="1" applyBorder="1"/>
    <xf numFmtId="167" fontId="3" fillId="0" borderId="2" xfId="0" applyNumberFormat="1" applyFont="1" applyBorder="1"/>
    <xf numFmtId="164" fontId="3" fillId="0" borderId="2" xfId="0" applyNumberFormat="1" applyFont="1" applyBorder="1"/>
    <xf numFmtId="9" fontId="3" fillId="0" borderId="2" xfId="1" applyFont="1" applyBorder="1"/>
    <xf numFmtId="10" fontId="3" fillId="0" borderId="2" xfId="1" applyNumberFormat="1" applyFont="1" applyBorder="1"/>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horizontal="left" vertical="center" indent="1"/>
    </xf>
    <xf numFmtId="0" fontId="7" fillId="0" borderId="0" xfId="0" applyFont="1" applyAlignment="1">
      <alignment horizontal="left" vertical="center" indent="2"/>
    </xf>
    <xf numFmtId="0" fontId="8" fillId="0" borderId="0" xfId="0" applyFont="1" applyAlignment="1">
      <alignment horizontal="left" vertical="center" indent="2"/>
    </xf>
    <xf numFmtId="0" fontId="8" fillId="0" borderId="0" xfId="0" applyFont="1"/>
    <xf numFmtId="0" fontId="7" fillId="0" borderId="0" xfId="0" applyFont="1"/>
    <xf numFmtId="0" fontId="2" fillId="6" borderId="0" xfId="0" applyFont="1" applyFill="1" applyAlignment="1">
      <alignment horizontal="center" vertical="center" wrapText="1"/>
    </xf>
    <xf numFmtId="0" fontId="2" fillId="6" borderId="0" xfId="0" applyFont="1" applyFill="1" applyAlignment="1">
      <alignment horizontal="right" vertical="center" wrapText="1"/>
    </xf>
    <xf numFmtId="0" fontId="0" fillId="3" borderId="0" xfId="0" applyFill="1" applyAlignment="1">
      <alignment horizontal="center" vertical="center" wrapText="1"/>
    </xf>
    <xf numFmtId="10" fontId="0" fillId="3" borderId="0" xfId="0" applyNumberFormat="1" applyFill="1"/>
    <xf numFmtId="167" fontId="0" fillId="3" borderId="0" xfId="0" applyNumberFormat="1" applyFill="1"/>
    <xf numFmtId="165" fontId="0" fillId="3" borderId="0" xfId="0" applyNumberFormat="1" applyFill="1"/>
    <xf numFmtId="4" fontId="0" fillId="3" borderId="0" xfId="0" applyNumberFormat="1" applyFill="1"/>
    <xf numFmtId="1" fontId="0" fillId="3" borderId="0" xfId="0" applyNumberFormat="1" applyFill="1"/>
    <xf numFmtId="0" fontId="0" fillId="2" borderId="0" xfId="0" applyFill="1" applyAlignment="1">
      <alignment horizontal="center" vertical="center" wrapText="1"/>
    </xf>
    <xf numFmtId="10" fontId="0" fillId="2" borderId="0" xfId="0" applyNumberFormat="1" applyFill="1"/>
    <xf numFmtId="167" fontId="0" fillId="2" borderId="0" xfId="0" applyNumberFormat="1" applyFill="1"/>
    <xf numFmtId="165" fontId="0" fillId="2" borderId="0" xfId="0" applyNumberFormat="1" applyFill="1"/>
    <xf numFmtId="1" fontId="0" fillId="2" borderId="0" xfId="0" applyNumberFormat="1" applyFill="1"/>
    <xf numFmtId="0" fontId="0" fillId="4" borderId="0" xfId="0" applyFill="1" applyAlignment="1">
      <alignment horizontal="center" vertical="center" wrapText="1"/>
    </xf>
    <xf numFmtId="10" fontId="0" fillId="4" borderId="0" xfId="0" applyNumberFormat="1" applyFill="1"/>
    <xf numFmtId="167" fontId="0" fillId="4" borderId="0" xfId="0" applyNumberFormat="1" applyFill="1"/>
    <xf numFmtId="165" fontId="0" fillId="4" borderId="0" xfId="0" applyNumberFormat="1" applyFill="1"/>
    <xf numFmtId="1" fontId="0" fillId="4" borderId="0" xfId="0" applyNumberFormat="1" applyFill="1"/>
    <xf numFmtId="0" fontId="0" fillId="7" borderId="0" xfId="0" applyFill="1"/>
    <xf numFmtId="0" fontId="0" fillId="7" borderId="0" xfId="0" applyFill="1" applyAlignment="1">
      <alignment horizontal="center" vertical="center" wrapText="1"/>
    </xf>
    <xf numFmtId="10" fontId="0" fillId="7" borderId="0" xfId="0" applyNumberFormat="1" applyFill="1"/>
    <xf numFmtId="167" fontId="0" fillId="7" borderId="0" xfId="0" applyNumberFormat="1" applyFill="1"/>
    <xf numFmtId="165" fontId="0" fillId="7" borderId="0" xfId="0" applyNumberFormat="1" applyFill="1"/>
    <xf numFmtId="1" fontId="0" fillId="7" borderId="0" xfId="0" applyNumberFormat="1" applyFill="1"/>
    <xf numFmtId="0" fontId="0" fillId="7" borderId="0" xfId="0" applyFill="1" applyAlignment="1">
      <alignment horizontal="center"/>
    </xf>
    <xf numFmtId="0" fontId="0" fillId="9" borderId="0" xfId="0" applyFill="1"/>
    <xf numFmtId="0" fontId="0" fillId="8" borderId="0" xfId="0" applyFill="1" applyAlignment="1">
      <alignment vertical="center" wrapText="1"/>
    </xf>
    <xf numFmtId="0" fontId="3" fillId="0" borderId="0" xfId="0" applyFont="1"/>
    <xf numFmtId="0" fontId="2" fillId="10" borderId="0" xfId="0" applyFont="1" applyFill="1" applyAlignment="1">
      <alignment horizontal="center" vertical="center" wrapText="1"/>
    </xf>
    <xf numFmtId="0" fontId="0" fillId="11" borderId="0" xfId="0" applyFill="1" applyAlignment="1">
      <alignment vertical="center" wrapText="1"/>
    </xf>
    <xf numFmtId="10" fontId="3" fillId="0" borderId="0" xfId="1" applyNumberFormat="1" applyFont="1"/>
    <xf numFmtId="10" fontId="3" fillId="0" borderId="1" xfId="1" applyNumberFormat="1" applyFont="1" applyBorder="1"/>
    <xf numFmtId="0" fontId="0" fillId="11" borderId="0" xfId="0" applyFill="1"/>
    <xf numFmtId="0" fontId="2" fillId="10" borderId="0" xfId="0" applyFont="1" applyFill="1"/>
    <xf numFmtId="10" fontId="0" fillId="3" borderId="0" xfId="1" applyNumberFormat="1" applyFont="1" applyFill="1"/>
    <xf numFmtId="168" fontId="0" fillId="3" borderId="0" xfId="0" applyNumberFormat="1" applyFill="1"/>
    <xf numFmtId="10" fontId="0" fillId="2" borderId="0" xfId="1" applyNumberFormat="1" applyFont="1" applyFill="1"/>
    <xf numFmtId="168" fontId="0" fillId="2" borderId="0" xfId="0" applyNumberFormat="1" applyFill="1"/>
    <xf numFmtId="10" fontId="0" fillId="4" borderId="0" xfId="1" applyNumberFormat="1" applyFont="1" applyFill="1"/>
    <xf numFmtId="168" fontId="0" fillId="4" borderId="0" xfId="0" applyNumberFormat="1" applyFill="1"/>
    <xf numFmtId="10" fontId="0" fillId="7" borderId="0" xfId="1" applyNumberFormat="1" applyFont="1" applyFill="1"/>
    <xf numFmtId="168" fontId="0" fillId="7" borderId="0" xfId="0" applyNumberFormat="1" applyFill="1"/>
    <xf numFmtId="167" fontId="0" fillId="11" borderId="0" xfId="0" applyNumberFormat="1" applyFill="1"/>
    <xf numFmtId="10" fontId="0" fillId="11" borderId="0" xfId="0" applyNumberFormat="1" applyFill="1"/>
    <xf numFmtId="2" fontId="0" fillId="3" borderId="0" xfId="0" applyNumberFormat="1" applyFill="1"/>
    <xf numFmtId="2" fontId="0" fillId="2" borderId="0" xfId="0" applyNumberFormat="1" applyFill="1"/>
    <xf numFmtId="9" fontId="0" fillId="4" borderId="0" xfId="0" applyNumberFormat="1" applyFill="1"/>
    <xf numFmtId="2" fontId="0" fillId="4" borderId="0" xfId="0" applyNumberFormat="1" applyFill="1"/>
    <xf numFmtId="2" fontId="0" fillId="7" borderId="0" xfId="0" applyNumberFormat="1" applyFill="1"/>
    <xf numFmtId="0" fontId="3" fillId="4" borderId="1" xfId="0" applyFont="1" applyFill="1" applyBorder="1"/>
    <xf numFmtId="9" fontId="0" fillId="3" borderId="0" xfId="0" applyNumberFormat="1" applyFill="1"/>
    <xf numFmtId="0" fontId="0" fillId="7" borderId="0" xfId="0" applyFill="1" applyAlignment="1">
      <alignment vertical="center" wrapText="1"/>
    </xf>
    <xf numFmtId="10" fontId="0" fillId="7" borderId="0" xfId="0" applyNumberFormat="1" applyFill="1" applyAlignment="1">
      <alignment horizontal="right" vertical="center" wrapText="1"/>
    </xf>
    <xf numFmtId="0" fontId="0" fillId="0" borderId="6" xfId="0" applyBorder="1"/>
    <xf numFmtId="0" fontId="0" fillId="0" borderId="7" xfId="0" applyBorder="1"/>
    <xf numFmtId="10" fontId="0" fillId="0" borderId="0" xfId="1" applyNumberFormat="1" applyFont="1" applyBorder="1"/>
    <xf numFmtId="10" fontId="0" fillId="0" borderId="7" xfId="1" applyNumberFormat="1" applyFont="1" applyBorder="1"/>
    <xf numFmtId="0" fontId="0" fillId="12" borderId="3" xfId="0" applyFill="1" applyBorder="1"/>
    <xf numFmtId="0" fontId="0" fillId="12" borderId="4" xfId="0" applyFill="1" applyBorder="1"/>
    <xf numFmtId="0" fontId="0" fillId="12" borderId="5" xfId="0" applyFill="1" applyBorder="1"/>
    <xf numFmtId="0" fontId="2" fillId="10" borderId="6" xfId="0" applyFont="1" applyFill="1" applyBorder="1"/>
    <xf numFmtId="0" fontId="2" fillId="10" borderId="7" xfId="0" applyFont="1" applyFill="1" applyBorder="1"/>
    <xf numFmtId="0" fontId="0" fillId="11" borderId="6" xfId="0" applyFill="1" applyBorder="1"/>
    <xf numFmtId="0" fontId="3" fillId="9" borderId="1" xfId="0" applyFont="1" applyFill="1" applyBorder="1" applyAlignment="1">
      <alignment vertical="center" wrapText="1"/>
    </xf>
    <xf numFmtId="0" fontId="3" fillId="9" borderId="1" xfId="0" applyFont="1" applyFill="1" applyBorder="1"/>
    <xf numFmtId="10" fontId="3" fillId="9" borderId="1" xfId="0" applyNumberFormat="1" applyFont="1" applyFill="1" applyBorder="1"/>
    <xf numFmtId="167" fontId="3" fillId="9" borderId="1" xfId="0" applyNumberFormat="1" applyFont="1" applyFill="1" applyBorder="1"/>
    <xf numFmtId="0" fontId="3" fillId="0" borderId="11" xfId="0" applyFont="1" applyBorder="1"/>
    <xf numFmtId="167" fontId="3" fillId="0" borderId="11" xfId="0" applyNumberFormat="1" applyFont="1" applyBorder="1"/>
    <xf numFmtId="167" fontId="3" fillId="0" borderId="0" xfId="0" applyNumberFormat="1" applyFont="1"/>
    <xf numFmtId="0" fontId="3" fillId="0" borderId="8" xfId="0" applyFont="1" applyBorder="1"/>
    <xf numFmtId="10" fontId="3" fillId="0" borderId="9" xfId="0" applyNumberFormat="1" applyFont="1" applyBorder="1"/>
    <xf numFmtId="10" fontId="3" fillId="0" borderId="10" xfId="0" applyNumberFormat="1" applyFont="1" applyBorder="1"/>
    <xf numFmtId="0" fontId="2" fillId="10" borderId="0" xfId="0" applyFont="1" applyFill="1" applyAlignment="1">
      <alignment horizontal="right" vertical="center" wrapText="1"/>
    </xf>
    <xf numFmtId="9" fontId="0" fillId="2" borderId="0" xfId="0" applyNumberFormat="1" applyFill="1"/>
    <xf numFmtId="10" fontId="0" fillId="5" borderId="0" xfId="1" applyNumberFormat="1" applyFont="1" applyFill="1"/>
    <xf numFmtId="9" fontId="0" fillId="5" borderId="0" xfId="0" applyNumberFormat="1" applyFill="1"/>
    <xf numFmtId="10" fontId="0" fillId="5" borderId="0" xfId="0" applyNumberFormat="1" applyFill="1"/>
    <xf numFmtId="2" fontId="3" fillId="0" borderId="0" xfId="0" applyNumberFormat="1" applyFont="1" applyAlignment="1">
      <alignment horizontal="center"/>
    </xf>
    <xf numFmtId="0" fontId="3" fillId="11" borderId="0" xfId="0" applyFont="1" applyFill="1" applyAlignment="1">
      <alignment horizontal="center" vertical="center" wrapText="1"/>
    </xf>
    <xf numFmtId="0" fontId="3" fillId="8" borderId="0" xfId="0" applyFont="1" applyFill="1" applyAlignment="1">
      <alignment vertical="center" wrapText="1"/>
    </xf>
    <xf numFmtId="9" fontId="0" fillId="8" borderId="0" xfId="1" applyFont="1" applyFill="1" applyAlignment="1">
      <alignment horizontal="center" vertical="center" wrapText="1"/>
    </xf>
    <xf numFmtId="0" fontId="0" fillId="8" borderId="0" xfId="0" applyFill="1"/>
    <xf numFmtId="0" fontId="3" fillId="11" borderId="0" xfId="0" applyFont="1" applyFill="1"/>
    <xf numFmtId="0" fontId="10" fillId="10" borderId="0" xfId="0" applyFont="1" applyFill="1"/>
    <xf numFmtId="0" fontId="9" fillId="10" borderId="0" xfId="0" applyFont="1" applyFill="1"/>
    <xf numFmtId="0" fontId="11" fillId="0" borderId="0" xfId="0" applyFont="1"/>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horizontal="left" vertical="top" wrapText="1" indent="1"/>
    </xf>
    <xf numFmtId="11" fontId="14" fillId="0" borderId="0" xfId="0" applyNumberFormat="1" applyFont="1" applyAlignment="1">
      <alignment horizontal="left" vertical="top" wrapText="1" indent="1"/>
    </xf>
    <xf numFmtId="0" fontId="14" fillId="5" borderId="0" xfId="0" applyFont="1" applyFill="1" applyAlignment="1">
      <alignment horizontal="left" vertical="top" wrapText="1" indent="1"/>
    </xf>
    <xf numFmtId="0" fontId="14" fillId="8" borderId="0" xfId="0" applyFont="1" applyFill="1" applyAlignment="1">
      <alignment horizontal="left" vertical="top" wrapText="1" indent="1"/>
    </xf>
    <xf numFmtId="164" fontId="3" fillId="0" borderId="0" xfId="0" applyNumberFormat="1" applyFont="1"/>
    <xf numFmtId="4" fontId="0" fillId="2" borderId="0" xfId="0" applyNumberFormat="1" applyFill="1"/>
    <xf numFmtId="4" fontId="0" fillId="4" borderId="0" xfId="0" applyNumberFormat="1" applyFill="1"/>
    <xf numFmtId="4" fontId="0" fillId="7" borderId="0" xfId="0" applyNumberForma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400"/>
              <a:t>Portfolio</a:t>
            </a:r>
            <a:r>
              <a:rPr lang="en-IN" sz="1400" baseline="0"/>
              <a:t> Allocation </a:t>
            </a:r>
            <a:endParaRPr lang="en-IN" sz="1400"/>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C29-42B5-904F-703D20CD7AD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C29-42B5-904F-703D20CD7AD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C29-42B5-904F-703D20CD7AD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C29-42B5-904F-703D20CD7AD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C29-42B5-904F-703D20CD7ADA}"/>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C29-42B5-904F-703D20CD7ADA}"/>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C29-42B5-904F-703D20CD7ADA}"/>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C29-42B5-904F-703D20CD7ADA}"/>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2C29-42B5-904F-703D20CD7ADA}"/>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C29-42B5-904F-703D20CD7ADA}"/>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C29-42B5-904F-703D20CD7ADA}"/>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C29-42B5-904F-703D20CD7ADA}"/>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C29-42B5-904F-703D20CD7ADA}"/>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C29-42B5-904F-703D20CD7ADA}"/>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C29-42B5-904F-703D20CD7ADA}"/>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C29-42B5-904F-703D20CD7ADA}"/>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C29-42B5-904F-703D20CD7ADA}"/>
              </c:ext>
            </c:extLst>
          </c:dPt>
          <c:dLbls>
            <c:dLbl>
              <c:idx val="0"/>
              <c:layout>
                <c:manualLayout>
                  <c:x val="0.30602235343237916"/>
                  <c:y val="-1.5040544761535661E-4"/>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C29-42B5-904F-703D20CD7ADA}"/>
                </c:ext>
              </c:extLst>
            </c:dLbl>
            <c:dLbl>
              <c:idx val="1"/>
              <c:layout>
                <c:manualLayout>
                  <c:x val="0.21143362600782548"/>
                  <c:y val="1.8370387513922438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C29-42B5-904F-703D20CD7ADA}"/>
                </c:ext>
              </c:extLst>
            </c:dLbl>
            <c:dLbl>
              <c:idx val="2"/>
              <c:layout>
                <c:manualLayout>
                  <c:x val="6.676851347615545E-2"/>
                  <c:y val="5.0518565663286712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2C29-42B5-904F-703D20CD7ADA}"/>
                </c:ext>
              </c:extLst>
            </c:dLbl>
            <c:dLbl>
              <c:idx val="3"/>
              <c:layout>
                <c:manualLayout>
                  <c:x val="7.789659905551459E-2"/>
                  <c:y val="2.6653244437884124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C29-42B5-904F-703D20CD7ADA}"/>
                </c:ext>
              </c:extLst>
            </c:dLbl>
            <c:dLbl>
              <c:idx val="4"/>
              <c:layout>
                <c:manualLayout>
                  <c:x val="2.2256171158718585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2C29-42B5-904F-703D20CD7ADA}"/>
                </c:ext>
              </c:extLst>
            </c:dLbl>
            <c:dLbl>
              <c:idx val="5"/>
              <c:layout>
                <c:manualLayout>
                  <c:x val="4.4512342317436865E-2"/>
                  <c:y val="3.5537659250512166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C29-42B5-904F-703D20CD7ADA}"/>
                </c:ext>
              </c:extLst>
            </c:dLbl>
            <c:dLbl>
              <c:idx val="6"/>
              <c:layout>
                <c:manualLayout>
                  <c:x val="7.7896599055514687E-2"/>
                  <c:y val="1.3326622218941899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2C29-42B5-904F-703D20CD7ADA}"/>
                </c:ext>
              </c:extLst>
            </c:dLbl>
            <c:dLbl>
              <c:idx val="7"/>
              <c:layout>
                <c:manualLayout>
                  <c:x val="5.5640427896796206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C29-42B5-904F-703D20CD7ADA}"/>
                </c:ext>
              </c:extLst>
            </c:dLbl>
            <c:dLbl>
              <c:idx val="8"/>
              <c:layout>
                <c:manualLayout>
                  <c:x val="-2.5038192553558294E-2"/>
                  <c:y val="1.7768829625256083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2C29-42B5-904F-703D20CD7ADA}"/>
                </c:ext>
              </c:extLst>
            </c:dLbl>
            <c:dLbl>
              <c:idx val="9"/>
              <c:layout>
                <c:manualLayout>
                  <c:x val="-9.1806706029713747E-2"/>
                  <c:y val="1.8370387513922354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C29-42B5-904F-703D20CD7ADA}"/>
                </c:ext>
              </c:extLst>
            </c:dLbl>
            <c:dLbl>
              <c:idx val="10"/>
              <c:layout>
                <c:manualLayout>
                  <c:x val="-4.4512342317436976E-2"/>
                  <c:y val="9.1851937569612189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C29-42B5-904F-703D20CD7ADA}"/>
                </c:ext>
              </c:extLst>
            </c:dLbl>
            <c:dLbl>
              <c:idx val="11"/>
              <c:layout>
                <c:manualLayout>
                  <c:x val="-5.0076385107116587E-2"/>
                  <c:y val="9.1851937569612189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29-42B5-904F-703D20CD7ADA}"/>
                </c:ext>
              </c:extLst>
            </c:dLbl>
            <c:dLbl>
              <c:idx val="12"/>
              <c:layout>
                <c:manualLayout>
                  <c:x val="-9.1806706029713747E-2"/>
                  <c:y val="2.75555812708837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1">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C29-42B5-904F-703D20CD7ADA}"/>
                </c:ext>
              </c:extLst>
            </c:dLbl>
            <c:dLbl>
              <c:idx val="13"/>
              <c:layout>
                <c:manualLayout>
                  <c:x val="-0.10571681300391279"/>
                  <c:y val="9.1851937569612189E-3"/>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2">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29-42B5-904F-703D20CD7ADA}"/>
                </c:ext>
              </c:extLst>
            </c:dLbl>
            <c:dLbl>
              <c:idx val="14"/>
              <c:layout>
                <c:manualLayout>
                  <c:x val="-0.12519096276779146"/>
                  <c:y val="-1.0524579599009772E-17"/>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3">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C29-42B5-904F-703D20CD7ADA}"/>
                </c:ext>
              </c:extLst>
            </c:dLbl>
            <c:dLbl>
              <c:idx val="15"/>
              <c:layout>
                <c:manualLayout>
                  <c:x val="-1.1128085579359241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4">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2C29-42B5-904F-703D20CD7ADA}"/>
                </c:ext>
              </c:extLst>
            </c:dLbl>
            <c:dLbl>
              <c:idx val="16"/>
              <c:layout>
                <c:manualLayout>
                  <c:x val="0.14605612322909006"/>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5">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1534247559597691"/>
                      <c:h val="0.11094430486274803"/>
                    </c:manualLayout>
                  </c15:layout>
                </c:ext>
                <c:ext xmlns:c16="http://schemas.microsoft.com/office/drawing/2014/chart" uri="{C3380CC4-5D6E-409C-BE32-E72D297353CC}">
                  <c16:uniqueId val="{0000000B-2C29-42B5-904F-703D20CD7ADA}"/>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'Ideal Scenario (2025-2033)'!$C$3:$C$19</c:f>
              <c:strCache>
                <c:ptCount val="17"/>
                <c:pt idx="0">
                  <c:v>HDFC Bank</c:v>
                </c:pt>
                <c:pt idx="1">
                  <c:v>ICICI Bank</c:v>
                </c:pt>
                <c:pt idx="2">
                  <c:v>Tata Consultancy Services (TCS)</c:v>
                </c:pt>
                <c:pt idx="3">
                  <c:v>Infosys</c:v>
                </c:pt>
                <c:pt idx="4">
                  <c:v>Power Grid Corporation</c:v>
                </c:pt>
                <c:pt idx="5">
                  <c:v>Reliance Industries</c:v>
                </c:pt>
                <c:pt idx="6">
                  <c:v>ITC</c:v>
                </c:pt>
                <c:pt idx="7">
                  <c:v>Persistent Systems</c:v>
                </c:pt>
                <c:pt idx="8">
                  <c:v>Cummins India</c:v>
                </c:pt>
                <c:pt idx="9">
                  <c:v>Tata Elxsi</c:v>
                </c:pt>
                <c:pt idx="10">
                  <c:v>Data Patterns</c:v>
                </c:pt>
                <c:pt idx="11">
                  <c:v>Neuland Laboratories</c:v>
                </c:pt>
                <c:pt idx="12">
                  <c:v>HBL Engineering</c:v>
                </c:pt>
                <c:pt idx="13">
                  <c:v>Kirloskar Oil Engines</c:v>
                </c:pt>
                <c:pt idx="14">
                  <c:v>Nuvama Wealth Management</c:v>
                </c:pt>
                <c:pt idx="15">
                  <c:v>Nippon India ETF Gold BeES</c:v>
                </c:pt>
                <c:pt idx="16">
                  <c:v>Bharat Bond ETF April 2030</c:v>
                </c:pt>
              </c:strCache>
            </c:strRef>
          </c:cat>
          <c:val>
            <c:numRef>
              <c:f>'Ideal Scenario (2025-2033)'!$E$3:$E$19</c:f>
              <c:numCache>
                <c:formatCode>0.00%</c:formatCode>
                <c:ptCount val="17"/>
                <c:pt idx="0">
                  <c:v>5.8659400544959141E-2</c:v>
                </c:pt>
                <c:pt idx="1">
                  <c:v>6.65558583106267E-2</c:v>
                </c:pt>
                <c:pt idx="2">
                  <c:v>7.4452316076294281E-2</c:v>
                </c:pt>
                <c:pt idx="3">
                  <c:v>7.1068119891008183E-2</c:v>
                </c:pt>
                <c:pt idx="4">
                  <c:v>2.8201634877384203E-2</c:v>
                </c:pt>
                <c:pt idx="5">
                  <c:v>5.3019073569482295E-2</c:v>
                </c:pt>
                <c:pt idx="6">
                  <c:v>6.2043596730245232E-2</c:v>
                </c:pt>
                <c:pt idx="7">
                  <c:v>0.10254545454545456</c:v>
                </c:pt>
                <c:pt idx="8">
                  <c:v>9.4909090909090915E-2</c:v>
                </c:pt>
                <c:pt idx="9">
                  <c:v>7.8545454545454557E-2</c:v>
                </c:pt>
                <c:pt idx="10">
                  <c:v>4.3125000000000004E-2</c:v>
                </c:pt>
                <c:pt idx="11">
                  <c:v>4.8875000000000002E-2</c:v>
                </c:pt>
                <c:pt idx="12">
                  <c:v>5.6925000000000003E-2</c:v>
                </c:pt>
                <c:pt idx="13">
                  <c:v>3.0475000000000002E-2</c:v>
                </c:pt>
                <c:pt idx="14">
                  <c:v>5.0599999999999999E-2</c:v>
                </c:pt>
                <c:pt idx="15">
                  <c:v>0.05</c:v>
                </c:pt>
                <c:pt idx="16">
                  <c:v>0.03</c:v>
                </c:pt>
              </c:numCache>
            </c:numRef>
          </c:val>
          <c:extLst>
            <c:ext xmlns:c16="http://schemas.microsoft.com/office/drawing/2014/chart" uri="{C3380CC4-5D6E-409C-BE32-E72D297353CC}">
              <c16:uniqueId val="{00000000-2C29-42B5-904F-703D20CD7ADA}"/>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Portfolio</a:t>
            </a:r>
            <a:r>
              <a:rPr lang="en-IN" baseline="0"/>
              <a:t> Allocation </a:t>
            </a:r>
            <a:endParaRPr lang="en-IN"/>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1BE-40FC-82F0-FE3D016982F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51BE-40FC-82F0-FE3D016982F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1BE-40FC-82F0-FE3D016982F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51BE-40FC-82F0-FE3D016982F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1BE-40FC-82F0-FE3D016982F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51BE-40FC-82F0-FE3D016982F8}"/>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1BE-40FC-82F0-FE3D016982F8}"/>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51BE-40FC-82F0-FE3D016982F8}"/>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51BE-40FC-82F0-FE3D016982F8}"/>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51BE-40FC-82F0-FE3D016982F8}"/>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51BE-40FC-82F0-FE3D016982F8}"/>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51BE-40FC-82F0-FE3D016982F8}"/>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51BE-40FC-82F0-FE3D016982F8}"/>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51BE-40FC-82F0-FE3D016982F8}"/>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51BE-40FC-82F0-FE3D016982F8}"/>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51BE-40FC-82F0-FE3D016982F8}"/>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51BE-40FC-82F0-FE3D016982F8}"/>
              </c:ext>
            </c:extLst>
          </c:dPt>
          <c:dLbls>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51BE-40FC-82F0-FE3D016982F8}"/>
                </c:ext>
              </c:extLst>
            </c:dLbl>
            <c:dLbl>
              <c:idx val="1"/>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51BE-40FC-82F0-FE3D016982F8}"/>
                </c:ext>
              </c:extLst>
            </c:dLbl>
            <c:dLbl>
              <c:idx val="2"/>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51BE-40FC-82F0-FE3D016982F8}"/>
                </c:ext>
              </c:extLst>
            </c:dLbl>
            <c:dLbl>
              <c:idx val="3"/>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51BE-40FC-82F0-FE3D016982F8}"/>
                </c:ext>
              </c:extLst>
            </c:dLbl>
            <c:dLbl>
              <c:idx val="4"/>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51BE-40FC-82F0-FE3D016982F8}"/>
                </c:ext>
              </c:extLst>
            </c:dLbl>
            <c:dLbl>
              <c:idx val="5"/>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51BE-40FC-82F0-FE3D016982F8}"/>
                </c:ext>
              </c:extLst>
            </c:dLbl>
            <c:dLbl>
              <c:idx val="6"/>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1BE-40FC-82F0-FE3D016982F8}"/>
                </c:ext>
              </c:extLst>
            </c:dLbl>
            <c:dLbl>
              <c:idx val="7"/>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51BE-40FC-82F0-FE3D016982F8}"/>
                </c:ext>
              </c:extLst>
            </c:dLbl>
            <c:dLbl>
              <c:idx val="8"/>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51BE-40FC-82F0-FE3D016982F8}"/>
                </c:ext>
              </c:extLst>
            </c:dLbl>
            <c:dLbl>
              <c:idx val="9"/>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A-51BE-40FC-82F0-FE3D016982F8}"/>
                </c:ext>
              </c:extLst>
            </c:dLbl>
            <c:dLbl>
              <c:idx val="1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51BE-40FC-82F0-FE3D016982F8}"/>
                </c:ext>
              </c:extLst>
            </c:dLbl>
            <c:dLbl>
              <c:idx val="11"/>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lumMod val="6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C-51BE-40FC-82F0-FE3D016982F8}"/>
                </c:ext>
              </c:extLst>
            </c:dLbl>
            <c:dLbl>
              <c:idx val="12"/>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D-51BE-40FC-82F0-FE3D016982F8}"/>
                </c:ext>
              </c:extLst>
            </c:dLbl>
            <c:dLbl>
              <c:idx val="13"/>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E-51BE-40FC-82F0-FE3D016982F8}"/>
                </c:ext>
              </c:extLst>
            </c:dLbl>
            <c:dLbl>
              <c:idx val="14"/>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F-51BE-40FC-82F0-FE3D016982F8}"/>
                </c:ext>
              </c:extLst>
            </c:dLbl>
            <c:dLbl>
              <c:idx val="15"/>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0-51BE-40FC-82F0-FE3D016982F8}"/>
                </c:ext>
              </c:extLst>
            </c:dLbl>
            <c:dLbl>
              <c:idx val="16"/>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lumMod val="80000"/>
                          <a:lumOff val="2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1-51BE-40FC-82F0-FE3D016982F8}"/>
                </c:ext>
              </c:extLst>
            </c:dLbl>
            <c:spPr>
              <a:solidFill>
                <a:sysClr val="window" lastClr="FFFFFF"/>
              </a:solidFill>
              <a:ln>
                <a:solidFill>
                  <a:srgbClr val="4472C4"/>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'Phase 1 (Jun 2025 - Apr 2028)'!$B$3:$B$19</c:f>
              <c:strCache>
                <c:ptCount val="17"/>
                <c:pt idx="0">
                  <c:v>HDFC Bank</c:v>
                </c:pt>
                <c:pt idx="1">
                  <c:v>ICICI Bank</c:v>
                </c:pt>
                <c:pt idx="2">
                  <c:v>Tata Consultancy Services (TCS)</c:v>
                </c:pt>
                <c:pt idx="3">
                  <c:v>Infosys</c:v>
                </c:pt>
                <c:pt idx="4">
                  <c:v>Power Grid Corporation</c:v>
                </c:pt>
                <c:pt idx="5">
                  <c:v>Reliance Industries</c:v>
                </c:pt>
                <c:pt idx="6">
                  <c:v>ITC</c:v>
                </c:pt>
                <c:pt idx="7">
                  <c:v>Persistent Systems</c:v>
                </c:pt>
                <c:pt idx="8">
                  <c:v>Cummins India</c:v>
                </c:pt>
                <c:pt idx="9">
                  <c:v>Tata Elxsi</c:v>
                </c:pt>
                <c:pt idx="10">
                  <c:v>Data Patterns</c:v>
                </c:pt>
                <c:pt idx="11">
                  <c:v>Neuland Laboratories</c:v>
                </c:pt>
                <c:pt idx="12">
                  <c:v>HBL Engineering</c:v>
                </c:pt>
                <c:pt idx="13">
                  <c:v>Kirloskar Oil Engines</c:v>
                </c:pt>
                <c:pt idx="14">
                  <c:v>Nuvama Wealth Management</c:v>
                </c:pt>
                <c:pt idx="15">
                  <c:v>Nippon India ETF Gold BeES</c:v>
                </c:pt>
                <c:pt idx="16">
                  <c:v>Bharat Bond ETF April 2030</c:v>
                </c:pt>
              </c:strCache>
            </c:strRef>
          </c:cat>
          <c:val>
            <c:numRef>
              <c:f>'Phase 1 (Jun 2025 - Apr 2028)'!$D$3:$D$19</c:f>
              <c:numCache>
                <c:formatCode>0.00%</c:formatCode>
                <c:ptCount val="17"/>
                <c:pt idx="0">
                  <c:v>5.8659400544959141E-2</c:v>
                </c:pt>
                <c:pt idx="1">
                  <c:v>6.65558583106267E-2</c:v>
                </c:pt>
                <c:pt idx="2">
                  <c:v>7.4452316076294281E-2</c:v>
                </c:pt>
                <c:pt idx="3">
                  <c:v>7.1068119891008183E-2</c:v>
                </c:pt>
                <c:pt idx="4">
                  <c:v>2.8201634877384203E-2</c:v>
                </c:pt>
                <c:pt idx="5">
                  <c:v>5.3019073569482295E-2</c:v>
                </c:pt>
                <c:pt idx="6">
                  <c:v>6.2043596730245232E-2</c:v>
                </c:pt>
                <c:pt idx="7">
                  <c:v>0.10254545454545456</c:v>
                </c:pt>
                <c:pt idx="8">
                  <c:v>9.4909090909090915E-2</c:v>
                </c:pt>
                <c:pt idx="9">
                  <c:v>7.8545454545454557E-2</c:v>
                </c:pt>
                <c:pt idx="10">
                  <c:v>4.3125000000000004E-2</c:v>
                </c:pt>
                <c:pt idx="11">
                  <c:v>4.8875000000000002E-2</c:v>
                </c:pt>
                <c:pt idx="12">
                  <c:v>5.6925000000000003E-2</c:v>
                </c:pt>
                <c:pt idx="13">
                  <c:v>3.0475000000000002E-2</c:v>
                </c:pt>
                <c:pt idx="14">
                  <c:v>5.0599999999999999E-2</c:v>
                </c:pt>
                <c:pt idx="15">
                  <c:v>0.05</c:v>
                </c:pt>
                <c:pt idx="16">
                  <c:v>0.03</c:v>
                </c:pt>
              </c:numCache>
            </c:numRef>
          </c:val>
          <c:extLst>
            <c:ext xmlns:c16="http://schemas.microsoft.com/office/drawing/2014/chart" uri="{C3380CC4-5D6E-409C-BE32-E72D297353CC}">
              <c16:uniqueId val="{00000000-51BE-40FC-82F0-FE3D016982F8}"/>
            </c:ext>
          </c:extLst>
        </c:ser>
        <c:dLbls>
          <c:dLblPos val="out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portfolio</a:t>
            </a:r>
            <a:r>
              <a:rPr lang="en-IN" baseline="0"/>
              <a:t> </a:t>
            </a:r>
          </a:p>
          <a:p>
            <a:pPr>
              <a:defRPr/>
            </a:pPr>
            <a:r>
              <a:rPr lang="en-IN" baseline="0"/>
              <a:t>allocation </a:t>
            </a:r>
            <a:endParaRPr lang="en-IN"/>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AC63-4B04-8F3C-2125F54F9D8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C63-4B04-8F3C-2125F54F9D8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AC63-4B04-8F3C-2125F54F9D8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AC63-4B04-8F3C-2125F54F9D8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C63-4B04-8F3C-2125F54F9D88}"/>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C63-4B04-8F3C-2125F54F9D88}"/>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C63-4B04-8F3C-2125F54F9D88}"/>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AC63-4B04-8F3C-2125F54F9D88}"/>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AC63-4B04-8F3C-2125F54F9D88}"/>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AC63-4B04-8F3C-2125F54F9D88}"/>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AC63-4B04-8F3C-2125F54F9D88}"/>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AC63-4B04-8F3C-2125F54F9D88}"/>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AC63-4B04-8F3C-2125F54F9D88}"/>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AC63-4B04-8F3C-2125F54F9D88}"/>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AC63-4B04-8F3C-2125F54F9D88}"/>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AC63-4B04-8F3C-2125F54F9D88}"/>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AC63-4B04-8F3C-2125F54F9D8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2-AC63-4B04-8F3C-2125F54F9D8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AC63-4B04-8F3C-2125F54F9D8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4-AC63-4B04-8F3C-2125F54F9D88}"/>
                </c:ext>
              </c:extLst>
            </c:dLbl>
            <c:dLbl>
              <c:idx val="3"/>
              <c:layout>
                <c:manualLayout>
                  <c:x val="8.9669096202730267E-2"/>
                  <c:y val="-2.73006270830488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63-4B04-8F3C-2125F54F9D8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AC63-4B04-8F3C-2125F54F9D8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6-AC63-4B04-8F3C-2125F54F9D8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AC63-4B04-8F3C-2125F54F9D8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8-AC63-4B04-8F3C-2125F54F9D8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AC63-4B04-8F3C-2125F54F9D8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AC63-4B04-8F3C-2125F54F9D88}"/>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AC63-4B04-8F3C-2125F54F9D88}"/>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C-AC63-4B04-8F3C-2125F54F9D88}"/>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AC63-4B04-8F3C-2125F54F9D88}"/>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E-AC63-4B04-8F3C-2125F54F9D88}"/>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AC63-4B04-8F3C-2125F54F9D88}"/>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0-AC63-4B04-8F3C-2125F54F9D88}"/>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AC63-4B04-8F3C-2125F54F9D88}"/>
                </c:ext>
              </c:extLst>
            </c:dLbl>
            <c:spPr>
              <a:noFill/>
              <a:ln>
                <a:noFill/>
              </a:ln>
              <a:effectLst/>
            </c:sp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'Phase 2 (May 2028 - Dec 2030)'!$B$3:$B$19</c:f>
              <c:strCache>
                <c:ptCount val="17"/>
                <c:pt idx="0">
                  <c:v>HDFC Bank</c:v>
                </c:pt>
                <c:pt idx="1">
                  <c:v>ICICI Bank</c:v>
                </c:pt>
                <c:pt idx="2">
                  <c:v>Tata Consultancy Services (TCS)</c:v>
                </c:pt>
                <c:pt idx="3">
                  <c:v>Infosys</c:v>
                </c:pt>
                <c:pt idx="4">
                  <c:v>Power Grid Corporation</c:v>
                </c:pt>
                <c:pt idx="5">
                  <c:v>Reliance Industries</c:v>
                </c:pt>
                <c:pt idx="6">
                  <c:v>Persistent Systems</c:v>
                </c:pt>
                <c:pt idx="7">
                  <c:v>Cummins India</c:v>
                </c:pt>
                <c:pt idx="8">
                  <c:v>Tata Elxsi</c:v>
                </c:pt>
                <c:pt idx="9">
                  <c:v>Exide Industries </c:v>
                </c:pt>
                <c:pt idx="10">
                  <c:v>Data Patterns</c:v>
                </c:pt>
                <c:pt idx="11">
                  <c:v>Neuland Laboratories</c:v>
                </c:pt>
                <c:pt idx="12">
                  <c:v>HBL Engineering</c:v>
                </c:pt>
                <c:pt idx="13">
                  <c:v>Amara Raja Energy &amp; Mobility </c:v>
                </c:pt>
                <c:pt idx="14">
                  <c:v>Nuvama Wealth Management</c:v>
                </c:pt>
                <c:pt idx="15">
                  <c:v>Nippon India ETF Gold BeES</c:v>
                </c:pt>
                <c:pt idx="16">
                  <c:v>Bharat Bond ETF April 2030</c:v>
                </c:pt>
              </c:strCache>
            </c:strRef>
          </c:cat>
          <c:val>
            <c:numRef>
              <c:f>'Phase 2 (May 2028 - Dec 2030)'!$E$3:$E$19</c:f>
              <c:numCache>
                <c:formatCode>0.00%</c:formatCode>
                <c:ptCount val="17"/>
                <c:pt idx="0">
                  <c:v>5.8659400544959141E-2</c:v>
                </c:pt>
                <c:pt idx="1">
                  <c:v>6.65558583106267E-2</c:v>
                </c:pt>
                <c:pt idx="2">
                  <c:v>7.4452316076294281E-2</c:v>
                </c:pt>
                <c:pt idx="3">
                  <c:v>7.1068119891008183E-2</c:v>
                </c:pt>
                <c:pt idx="4">
                  <c:v>2.8201634877384203E-2</c:v>
                </c:pt>
                <c:pt idx="5">
                  <c:v>5.3019073569482295E-2</c:v>
                </c:pt>
                <c:pt idx="6">
                  <c:v>0.11254545454545456</c:v>
                </c:pt>
                <c:pt idx="7">
                  <c:v>0.10490909090909091</c:v>
                </c:pt>
                <c:pt idx="8">
                  <c:v>7.8545454545454557E-2</c:v>
                </c:pt>
                <c:pt idx="9" formatCode="0%">
                  <c:v>0.05</c:v>
                </c:pt>
                <c:pt idx="10">
                  <c:v>4.3125000000000004E-2</c:v>
                </c:pt>
                <c:pt idx="11">
                  <c:v>4.8875000000000002E-2</c:v>
                </c:pt>
                <c:pt idx="12">
                  <c:v>5.6925000000000003E-2</c:v>
                </c:pt>
                <c:pt idx="13">
                  <c:v>4.2500000000000003E-2</c:v>
                </c:pt>
                <c:pt idx="14">
                  <c:v>5.0599999999999999E-2</c:v>
                </c:pt>
                <c:pt idx="15">
                  <c:v>0.03</c:v>
                </c:pt>
                <c:pt idx="16">
                  <c:v>0.03</c:v>
                </c:pt>
              </c:numCache>
            </c:numRef>
          </c:val>
          <c:extLst>
            <c:ext xmlns:c16="http://schemas.microsoft.com/office/drawing/2014/chart" uri="{C3380CC4-5D6E-409C-BE32-E72D297353CC}">
              <c16:uniqueId val="{00000000-AC63-4B04-8F3C-2125F54F9D88}"/>
            </c:ext>
          </c:extLst>
        </c:ser>
        <c:dLbls>
          <c:dLblPos val="bestFit"/>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Portfolio</a:t>
            </a:r>
            <a:r>
              <a:rPr lang="en-IN" baseline="0"/>
              <a:t> Allocation </a:t>
            </a:r>
            <a:endParaRPr lang="en-IN"/>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E86-44A3-9FAA-0F0DCB234BA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E86-44A3-9FAA-0F0DCB234BA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E86-44A3-9FAA-0F0DCB234BA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E86-44A3-9FAA-0F0DCB234BAC}"/>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FE86-44A3-9FAA-0F0DCB234BAC}"/>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E86-44A3-9FAA-0F0DCB234BAC}"/>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E86-44A3-9FAA-0F0DCB234BAC}"/>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FE86-44A3-9FAA-0F0DCB234BAC}"/>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FE86-44A3-9FAA-0F0DCB234BAC}"/>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FE86-44A3-9FAA-0F0DCB234BAC}"/>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FE86-44A3-9FAA-0F0DCB234BAC}"/>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FE86-44A3-9FAA-0F0DCB234BAC}"/>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FE86-44A3-9FAA-0F0DCB234BAC}"/>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FE86-44A3-9FAA-0F0DCB234BAC}"/>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FE86-44A3-9FAA-0F0DCB234BAC}"/>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FE86-44A3-9FAA-0F0DCB234BAC}"/>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FE86-44A3-9FAA-0F0DCB234BAC}"/>
              </c:ext>
            </c:extLst>
          </c:dPt>
          <c:dLbls>
            <c:dLbl>
              <c:idx val="0"/>
              <c:layout>
                <c:manualLayout>
                  <c:x val="0.16499873309717203"/>
                  <c:y val="7.605036987785551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E86-44A3-9FAA-0F0DCB234BAC}"/>
                </c:ext>
              </c:extLst>
            </c:dLbl>
            <c:dLbl>
              <c:idx val="1"/>
              <c:layout>
                <c:manualLayout>
                  <c:x val="4.8069949284957336E-2"/>
                  <c:y val="5.87261599024628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E86-44A3-9FAA-0F0DCB234BA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FE86-44A3-9FAA-0F0DCB234BAC}"/>
                </c:ext>
              </c:extLst>
            </c:dLbl>
            <c:dLbl>
              <c:idx val="3"/>
              <c:layout>
                <c:manualLayout>
                  <c:x val="5.5549415218981234E-2"/>
                  <c:y val="1.260973946523920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E86-44A3-9FAA-0F0DCB234BA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6-FE86-44A3-9FAA-0F0DCB234BAC}"/>
                </c:ext>
              </c:extLst>
            </c:dLbl>
            <c:dLbl>
              <c:idx val="5"/>
              <c:layout>
                <c:manualLayout>
                  <c:x val="5.2101273013073273E-3"/>
                  <c:y val="-1.204534622634879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E86-44A3-9FAA-0F0DCB234BAC}"/>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FE86-44A3-9FAA-0F0DCB234BAC}"/>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8-FE86-44A3-9FAA-0F0DCB234BAC}"/>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FE86-44A3-9FAA-0F0DCB234BAC}"/>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A-FE86-44A3-9FAA-0F0DCB234BAC}"/>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FE86-44A3-9FAA-0F0DCB234BAC}"/>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C-FE86-44A3-9FAA-0F0DCB234BAC}"/>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FE86-44A3-9FAA-0F0DCB234BAC}"/>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E-FE86-44A3-9FAA-0F0DCB234BAC}"/>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F-FE86-44A3-9FAA-0F0DCB234BAC}"/>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0-FE86-44A3-9FAA-0F0DCB234BAC}"/>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FE86-44A3-9FAA-0F0DCB234BAC}"/>
                </c:ext>
              </c:extLst>
            </c:dLbl>
            <c:spPr>
              <a:noFill/>
              <a:ln>
                <a:noFill/>
              </a:ln>
              <a:effectLst/>
            </c:sp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'Phase 3 (Jan 31 - Jun 33)'!$B$4:$B$20</c:f>
              <c:strCache>
                <c:ptCount val="17"/>
                <c:pt idx="0">
                  <c:v>HDFC Bank</c:v>
                </c:pt>
                <c:pt idx="1">
                  <c:v>ICICI Bank</c:v>
                </c:pt>
                <c:pt idx="2">
                  <c:v>Tata Consultancy Services (TCS)</c:v>
                </c:pt>
                <c:pt idx="3">
                  <c:v>Infosys</c:v>
                </c:pt>
                <c:pt idx="4">
                  <c:v>Power Grid Corporation</c:v>
                </c:pt>
                <c:pt idx="5">
                  <c:v>Reliance Industries</c:v>
                </c:pt>
                <c:pt idx="6">
                  <c:v>Larsen &amp; Toubro (L&amp;T)</c:v>
                </c:pt>
                <c:pt idx="7">
                  <c:v>Hindustan Unilever (HUL)</c:v>
                </c:pt>
                <c:pt idx="8">
                  <c:v>Sun Pharmaceutical Industries</c:v>
                </c:pt>
                <c:pt idx="9">
                  <c:v>Persistent Systems</c:v>
                </c:pt>
                <c:pt idx="10">
                  <c:v>Cummins India</c:v>
                </c:pt>
                <c:pt idx="11">
                  <c:v>Tata Elxsi</c:v>
                </c:pt>
                <c:pt idx="12">
                  <c:v>Exide Industries</c:v>
                </c:pt>
                <c:pt idx="13">
                  <c:v>Data Patterns</c:v>
                </c:pt>
                <c:pt idx="14">
                  <c:v>Amara Raja Energy &amp; Mobility</c:v>
                </c:pt>
                <c:pt idx="15">
                  <c:v>Nippon India ETF Gold BeES</c:v>
                </c:pt>
                <c:pt idx="16">
                  <c:v>Bharat Bond ETF April 2030</c:v>
                </c:pt>
              </c:strCache>
            </c:strRef>
          </c:cat>
          <c:val>
            <c:numRef>
              <c:f>'Phase 3 (Jan 31 - Jun 33)'!$E$4:$E$20</c:f>
              <c:numCache>
                <c:formatCode>0.00%</c:formatCode>
                <c:ptCount val="17"/>
                <c:pt idx="0">
                  <c:v>0.105</c:v>
                </c:pt>
                <c:pt idx="1">
                  <c:v>9.5000000000000001E-2</c:v>
                </c:pt>
                <c:pt idx="2">
                  <c:v>7.0000000000000007E-2</c:v>
                </c:pt>
                <c:pt idx="3">
                  <c:v>6.5000000000000002E-2</c:v>
                </c:pt>
                <c:pt idx="4">
                  <c:v>5.5E-2</c:v>
                </c:pt>
                <c:pt idx="5">
                  <c:v>0.08</c:v>
                </c:pt>
                <c:pt idx="6">
                  <c:v>9.5000000000000001E-2</c:v>
                </c:pt>
                <c:pt idx="7">
                  <c:v>0.05</c:v>
                </c:pt>
                <c:pt idx="8">
                  <c:v>0.06</c:v>
                </c:pt>
                <c:pt idx="9">
                  <c:v>5.5E-2</c:v>
                </c:pt>
                <c:pt idx="10">
                  <c:v>5.5E-2</c:v>
                </c:pt>
                <c:pt idx="11">
                  <c:v>0.04</c:v>
                </c:pt>
                <c:pt idx="12">
                  <c:v>3.5000000000000003E-2</c:v>
                </c:pt>
                <c:pt idx="13">
                  <c:v>2.5000000000000001E-2</c:v>
                </c:pt>
                <c:pt idx="14">
                  <c:v>2.5000000000000001E-2</c:v>
                </c:pt>
                <c:pt idx="15">
                  <c:v>0.06</c:v>
                </c:pt>
                <c:pt idx="16">
                  <c:v>0.03</c:v>
                </c:pt>
              </c:numCache>
            </c:numRef>
          </c:val>
          <c:extLst>
            <c:ext xmlns:c16="http://schemas.microsoft.com/office/drawing/2014/chart" uri="{C3380CC4-5D6E-409C-BE32-E72D297353CC}">
              <c16:uniqueId val="{00000000-FE86-44A3-9FAA-0F0DCB234BAC}"/>
            </c:ext>
          </c:extLst>
        </c:ser>
        <c:dLbls>
          <c:dLblPos val="bestFit"/>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62032</xdr:colOff>
      <xdr:row>20</xdr:row>
      <xdr:rowOff>93213</xdr:rowOff>
    </xdr:from>
    <xdr:to>
      <xdr:col>10</xdr:col>
      <xdr:colOff>667057</xdr:colOff>
      <xdr:row>36</xdr:row>
      <xdr:rowOff>221980</xdr:rowOff>
    </xdr:to>
    <xdr:graphicFrame macro="">
      <xdr:nvGraphicFramePr>
        <xdr:cNvPr id="3" name="Chart 2">
          <a:extLst>
            <a:ext uri="{FF2B5EF4-FFF2-40B4-BE49-F238E27FC236}">
              <a16:creationId xmlns:a16="http://schemas.microsoft.com/office/drawing/2014/main" id="{96428EDF-B523-C393-10F9-C00027436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500864</xdr:colOff>
      <xdr:row>20</xdr:row>
      <xdr:rowOff>23971</xdr:rowOff>
    </xdr:from>
    <xdr:to>
      <xdr:col>9</xdr:col>
      <xdr:colOff>847618</xdr:colOff>
      <xdr:row>42</xdr:row>
      <xdr:rowOff>94179</xdr:rowOff>
    </xdr:to>
    <xdr:graphicFrame macro="">
      <xdr:nvGraphicFramePr>
        <xdr:cNvPr id="3" name="Chart 2">
          <a:extLst>
            <a:ext uri="{FF2B5EF4-FFF2-40B4-BE49-F238E27FC236}">
              <a16:creationId xmlns:a16="http://schemas.microsoft.com/office/drawing/2014/main" id="{1496D758-9A4C-A0AE-D7B1-5521A4AA4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14120</xdr:colOff>
      <xdr:row>20</xdr:row>
      <xdr:rowOff>155693</xdr:rowOff>
    </xdr:from>
    <xdr:to>
      <xdr:col>7</xdr:col>
      <xdr:colOff>1508016</xdr:colOff>
      <xdr:row>38</xdr:row>
      <xdr:rowOff>170678</xdr:rowOff>
    </xdr:to>
    <xdr:graphicFrame macro="">
      <xdr:nvGraphicFramePr>
        <xdr:cNvPr id="2" name="Chart 1">
          <a:extLst>
            <a:ext uri="{FF2B5EF4-FFF2-40B4-BE49-F238E27FC236}">
              <a16:creationId xmlns:a16="http://schemas.microsoft.com/office/drawing/2014/main" id="{D8815C35-99D3-5D83-BADF-C039C0548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438411</xdr:colOff>
      <xdr:row>22</xdr:row>
      <xdr:rowOff>141962</xdr:rowOff>
    </xdr:from>
    <xdr:to>
      <xdr:col>7</xdr:col>
      <xdr:colOff>574110</xdr:colOff>
      <xdr:row>42</xdr:row>
      <xdr:rowOff>125262</xdr:rowOff>
    </xdr:to>
    <xdr:graphicFrame macro="">
      <xdr:nvGraphicFramePr>
        <xdr:cNvPr id="3" name="Chart 2">
          <a:extLst>
            <a:ext uri="{FF2B5EF4-FFF2-40B4-BE49-F238E27FC236}">
              <a16:creationId xmlns:a16="http://schemas.microsoft.com/office/drawing/2014/main" id="{2AB5FBCD-7194-BDA8-C015-F17A6827D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97E55-8923-4652-8DDA-44DF4AA9404A}">
  <dimension ref="B1:S29"/>
  <sheetViews>
    <sheetView tabSelected="1" zoomScale="69" zoomScaleNormal="87" workbookViewId="0">
      <selection activeCell="F32" sqref="F32"/>
    </sheetView>
  </sheetViews>
  <sheetFormatPr defaultRowHeight="14.4" x14ac:dyDescent="0.3"/>
  <cols>
    <col min="1" max="1" width="1.88671875" customWidth="1"/>
    <col min="2" max="2" width="15" customWidth="1"/>
    <col min="3" max="3" width="26.77734375" customWidth="1"/>
    <col min="9" max="9" width="15.109375" customWidth="1"/>
    <col min="10" max="10" width="42.109375" customWidth="1"/>
    <col min="11" max="11" width="8.88671875" customWidth="1"/>
    <col min="12" max="12" width="13.5546875" customWidth="1"/>
    <col min="13" max="13" width="12.44140625" customWidth="1"/>
    <col min="14" max="14" width="25.109375" bestFit="1" customWidth="1"/>
    <col min="16" max="16" width="13.33203125" customWidth="1"/>
    <col min="17" max="17" width="22.5546875" customWidth="1"/>
    <col min="18" max="18" width="18.5546875" bestFit="1" customWidth="1"/>
    <col min="19" max="19" width="20.77734375" bestFit="1" customWidth="1"/>
    <col min="20" max="20" width="8" bestFit="1" customWidth="1"/>
    <col min="21" max="21" width="21.21875" customWidth="1"/>
    <col min="22" max="22" width="15.88671875" customWidth="1"/>
    <col min="23" max="23" width="11.21875" customWidth="1"/>
  </cols>
  <sheetData>
    <row r="1" spans="2:19" ht="21" x14ac:dyDescent="0.4">
      <c r="B1" s="136" t="s">
        <v>0</v>
      </c>
      <c r="C1" s="137"/>
      <c r="D1" s="137"/>
    </row>
    <row r="2" spans="2:19" ht="28.8" x14ac:dyDescent="0.3">
      <c r="B2" s="135" t="s">
        <v>4</v>
      </c>
      <c r="C2" s="84"/>
      <c r="D2" s="135" t="s">
        <v>6</v>
      </c>
      <c r="J2" s="131" t="s">
        <v>17</v>
      </c>
      <c r="K2" s="131" t="s">
        <v>21</v>
      </c>
      <c r="L2" s="131" t="s">
        <v>22</v>
      </c>
      <c r="M2" s="131" t="s">
        <v>23</v>
      </c>
      <c r="N2" s="131" t="s">
        <v>24</v>
      </c>
      <c r="O2" s="131" t="s">
        <v>25</v>
      </c>
      <c r="P2" s="131" t="s">
        <v>26</v>
      </c>
      <c r="Q2" s="131" t="s">
        <v>27</v>
      </c>
      <c r="R2" s="131" t="s">
        <v>33</v>
      </c>
      <c r="S2" s="131" t="s">
        <v>34</v>
      </c>
    </row>
    <row r="3" spans="2:19" x14ac:dyDescent="0.3">
      <c r="B3" t="s">
        <v>1</v>
      </c>
      <c r="D3" s="79">
        <v>67</v>
      </c>
      <c r="J3" s="4" t="s">
        <v>28</v>
      </c>
      <c r="K3" s="2">
        <v>9</v>
      </c>
      <c r="L3" s="2">
        <v>8</v>
      </c>
      <c r="M3" s="2">
        <v>10</v>
      </c>
      <c r="N3" s="2">
        <v>10</v>
      </c>
      <c r="O3" s="2">
        <v>9</v>
      </c>
      <c r="P3" s="2">
        <v>8</v>
      </c>
      <c r="Q3" s="5">
        <f t="shared" ref="Q3:Q9" si="0">$K$11*K3+$L$11*L3+$M$11*M3+$N$11*N3+$O$11*O3+$P$11*P3</f>
        <v>9.1</v>
      </c>
      <c r="R3" s="1">
        <f t="shared" ref="R3:R9" si="1">Q3/$Q$10</f>
        <v>0.15294117647058822</v>
      </c>
      <c r="S3" s="6">
        <f>80*R3</f>
        <v>12.235294117647058</v>
      </c>
    </row>
    <row r="4" spans="2:19" x14ac:dyDescent="0.3">
      <c r="B4" t="s">
        <v>2</v>
      </c>
      <c r="D4" s="79">
        <v>18</v>
      </c>
      <c r="J4" s="4" t="s">
        <v>29</v>
      </c>
      <c r="K4" s="2">
        <v>10</v>
      </c>
      <c r="L4" s="2">
        <v>10</v>
      </c>
      <c r="M4" s="2">
        <v>8</v>
      </c>
      <c r="N4" s="2">
        <v>8</v>
      </c>
      <c r="O4" s="2">
        <v>9</v>
      </c>
      <c r="P4" s="2">
        <v>7</v>
      </c>
      <c r="Q4" s="3">
        <f t="shared" si="0"/>
        <v>9</v>
      </c>
      <c r="R4" s="1">
        <f t="shared" si="1"/>
        <v>0.15126050420168066</v>
      </c>
      <c r="S4" s="6">
        <f t="shared" ref="S4:S9" si="2">80*R4</f>
        <v>12.100840336134453</v>
      </c>
    </row>
    <row r="5" spans="2:19" x14ac:dyDescent="0.3">
      <c r="B5" t="s">
        <v>3</v>
      </c>
      <c r="D5" s="79">
        <f>D3-D4</f>
        <v>49</v>
      </c>
      <c r="J5" s="4" t="s">
        <v>19</v>
      </c>
      <c r="K5" s="2">
        <v>9</v>
      </c>
      <c r="L5" s="2">
        <v>10</v>
      </c>
      <c r="M5" s="2">
        <v>8</v>
      </c>
      <c r="N5" s="2">
        <v>9</v>
      </c>
      <c r="O5" s="2">
        <v>9</v>
      </c>
      <c r="P5" s="2">
        <v>8</v>
      </c>
      <c r="Q5" s="3">
        <f t="shared" si="0"/>
        <v>8.9499999999999993</v>
      </c>
      <c r="R5" s="1">
        <f t="shared" si="1"/>
        <v>0.15042016806722686</v>
      </c>
      <c r="S5" s="6">
        <f t="shared" si="2"/>
        <v>12.033613445378148</v>
      </c>
    </row>
    <row r="6" spans="2:19" x14ac:dyDescent="0.3">
      <c r="D6" s="79"/>
      <c r="J6" s="4" t="s">
        <v>18</v>
      </c>
      <c r="K6" s="2">
        <v>8</v>
      </c>
      <c r="L6" s="2">
        <v>6</v>
      </c>
      <c r="M6" s="2">
        <v>10</v>
      </c>
      <c r="N6" s="2">
        <v>9</v>
      </c>
      <c r="O6" s="2">
        <v>9</v>
      </c>
      <c r="P6" s="2">
        <v>8</v>
      </c>
      <c r="Q6" s="3">
        <f t="shared" si="0"/>
        <v>8.2999999999999989</v>
      </c>
      <c r="R6" s="1">
        <f t="shared" si="1"/>
        <v>0.13949579831932771</v>
      </c>
      <c r="S6" s="6">
        <f>80*R6</f>
        <v>11.159663865546216</v>
      </c>
    </row>
    <row r="7" spans="2:19" x14ac:dyDescent="0.3">
      <c r="B7" t="s">
        <v>5</v>
      </c>
      <c r="D7" s="79">
        <v>80</v>
      </c>
      <c r="J7" s="4" t="s">
        <v>30</v>
      </c>
      <c r="K7" s="2">
        <v>8</v>
      </c>
      <c r="L7" s="2">
        <v>8</v>
      </c>
      <c r="M7" s="2">
        <v>9</v>
      </c>
      <c r="N7" s="2">
        <v>9</v>
      </c>
      <c r="O7" s="2">
        <v>8</v>
      </c>
      <c r="P7" s="2">
        <v>8</v>
      </c>
      <c r="Q7" s="3">
        <f t="shared" si="0"/>
        <v>8.35</v>
      </c>
      <c r="R7" s="1">
        <f t="shared" si="1"/>
        <v>0.14033613445378149</v>
      </c>
      <c r="S7" s="6">
        <f t="shared" si="2"/>
        <v>11.226890756302518</v>
      </c>
    </row>
    <row r="8" spans="2:19" x14ac:dyDescent="0.3">
      <c r="B8" t="s">
        <v>7</v>
      </c>
      <c r="D8" s="79"/>
      <c r="J8" s="4" t="s">
        <v>31</v>
      </c>
      <c r="K8" s="2">
        <v>7</v>
      </c>
      <c r="L8" s="2">
        <v>7</v>
      </c>
      <c r="M8" s="2">
        <v>9</v>
      </c>
      <c r="N8" s="2">
        <v>10</v>
      </c>
      <c r="O8" s="2">
        <v>8</v>
      </c>
      <c r="P8" s="2">
        <v>9</v>
      </c>
      <c r="Q8" s="3">
        <f t="shared" si="0"/>
        <v>8.1</v>
      </c>
      <c r="R8" s="1">
        <f t="shared" si="1"/>
        <v>0.13613445378151259</v>
      </c>
      <c r="S8" s="6">
        <f t="shared" si="2"/>
        <v>10.890756302521007</v>
      </c>
    </row>
    <row r="9" spans="2:19" x14ac:dyDescent="0.3">
      <c r="B9" t="s">
        <v>8</v>
      </c>
      <c r="D9" s="79">
        <v>50</v>
      </c>
      <c r="J9" s="4" t="s">
        <v>32</v>
      </c>
      <c r="K9" s="2">
        <v>7</v>
      </c>
      <c r="L9" s="2">
        <v>8</v>
      </c>
      <c r="M9" s="2">
        <v>9</v>
      </c>
      <c r="N9" s="2">
        <v>8</v>
      </c>
      <c r="O9" s="2">
        <v>7</v>
      </c>
      <c r="P9" s="2">
        <v>6</v>
      </c>
      <c r="Q9" s="3">
        <f t="shared" si="0"/>
        <v>7.7</v>
      </c>
      <c r="R9" s="1">
        <f t="shared" si="1"/>
        <v>0.12941176470588234</v>
      </c>
      <c r="S9" s="6">
        <f t="shared" si="2"/>
        <v>10.352941176470587</v>
      </c>
    </row>
    <row r="10" spans="2:19" x14ac:dyDescent="0.3">
      <c r="B10" t="s">
        <v>9</v>
      </c>
      <c r="D10" s="79">
        <v>300</v>
      </c>
      <c r="Q10" s="130">
        <f>SUM(Q3:Q9)</f>
        <v>59.500000000000007</v>
      </c>
    </row>
    <row r="11" spans="2:19" x14ac:dyDescent="0.3">
      <c r="B11" t="s">
        <v>10</v>
      </c>
      <c r="D11" s="79">
        <v>200</v>
      </c>
      <c r="J11" s="132" t="s">
        <v>16</v>
      </c>
      <c r="K11" s="133">
        <v>0.25</v>
      </c>
      <c r="L11" s="133">
        <v>0.2</v>
      </c>
      <c r="M11" s="133">
        <v>0.2</v>
      </c>
      <c r="N11" s="133">
        <v>0.15</v>
      </c>
      <c r="O11" s="133">
        <v>0.15</v>
      </c>
      <c r="P11" s="133">
        <v>0.05</v>
      </c>
      <c r="Q11" s="134"/>
      <c r="R11" s="134"/>
      <c r="S11" s="134"/>
    </row>
    <row r="12" spans="2:19" x14ac:dyDescent="0.3">
      <c r="B12" t="s">
        <v>3</v>
      </c>
      <c r="D12" s="79">
        <v>150</v>
      </c>
    </row>
    <row r="13" spans="2:19" x14ac:dyDescent="0.3">
      <c r="D13" s="79"/>
    </row>
    <row r="14" spans="2:19" x14ac:dyDescent="0.3">
      <c r="B14" t="s">
        <v>11</v>
      </c>
      <c r="D14" s="79">
        <f>D10+D11+D12</f>
        <v>650</v>
      </c>
      <c r="J14" s="84" t="s">
        <v>35</v>
      </c>
      <c r="K14" s="84" t="s">
        <v>20</v>
      </c>
      <c r="L14" s="84" t="s">
        <v>38</v>
      </c>
    </row>
    <row r="15" spans="2:19" x14ac:dyDescent="0.3">
      <c r="B15" t="s">
        <v>12</v>
      </c>
      <c r="D15" s="79">
        <f>8*D5</f>
        <v>392</v>
      </c>
      <c r="J15" t="s">
        <v>36</v>
      </c>
      <c r="K15" t="s">
        <v>28</v>
      </c>
      <c r="L15" t="s">
        <v>44</v>
      </c>
    </row>
    <row r="16" spans="2:19" x14ac:dyDescent="0.3">
      <c r="B16" t="s">
        <v>13</v>
      </c>
      <c r="D16" s="79">
        <f>D14-D15+D9</f>
        <v>308</v>
      </c>
      <c r="J16" t="s">
        <v>37</v>
      </c>
      <c r="K16" t="s">
        <v>28</v>
      </c>
      <c r="L16" t="s">
        <v>44</v>
      </c>
    </row>
    <row r="17" spans="2:14" x14ac:dyDescent="0.3">
      <c r="B17" t="s">
        <v>14</v>
      </c>
      <c r="D17" s="82">
        <f>((D16/D7)^(1/8))-1</f>
        <v>0.18353904852901182</v>
      </c>
      <c r="E17" t="s">
        <v>15</v>
      </c>
      <c r="J17" t="s">
        <v>39</v>
      </c>
      <c r="K17" t="s">
        <v>67</v>
      </c>
      <c r="L17" t="s">
        <v>44</v>
      </c>
    </row>
    <row r="18" spans="2:14" x14ac:dyDescent="0.3">
      <c r="J18" t="s">
        <v>40</v>
      </c>
      <c r="K18" t="s">
        <v>67</v>
      </c>
      <c r="L18" t="s">
        <v>44</v>
      </c>
      <c r="N18" s="4"/>
    </row>
    <row r="19" spans="2:14" x14ac:dyDescent="0.3">
      <c r="J19" t="s">
        <v>41</v>
      </c>
      <c r="K19" t="s">
        <v>70</v>
      </c>
      <c r="L19" t="s">
        <v>44</v>
      </c>
    </row>
    <row r="20" spans="2:14" x14ac:dyDescent="0.3">
      <c r="J20" t="s">
        <v>42</v>
      </c>
      <c r="K20" t="s">
        <v>72</v>
      </c>
      <c r="L20" t="s">
        <v>44</v>
      </c>
    </row>
    <row r="21" spans="2:14" x14ac:dyDescent="0.3">
      <c r="J21" t="s">
        <v>43</v>
      </c>
      <c r="K21" t="s">
        <v>73</v>
      </c>
      <c r="L21" t="s">
        <v>44</v>
      </c>
    </row>
    <row r="22" spans="2:14" x14ac:dyDescent="0.3">
      <c r="J22" t="s">
        <v>45</v>
      </c>
      <c r="K22" t="s">
        <v>75</v>
      </c>
      <c r="L22" t="s">
        <v>48</v>
      </c>
    </row>
    <row r="23" spans="2:14" x14ac:dyDescent="0.3">
      <c r="J23" t="s">
        <v>46</v>
      </c>
      <c r="K23" t="s">
        <v>77</v>
      </c>
      <c r="L23" t="s">
        <v>48</v>
      </c>
    </row>
    <row r="24" spans="2:14" x14ac:dyDescent="0.3">
      <c r="J24" t="s">
        <v>47</v>
      </c>
      <c r="K24" t="s">
        <v>79</v>
      </c>
      <c r="L24" t="s">
        <v>48</v>
      </c>
    </row>
    <row r="25" spans="2:14" x14ac:dyDescent="0.3">
      <c r="J25" t="s">
        <v>51</v>
      </c>
      <c r="K25" t="s">
        <v>80</v>
      </c>
      <c r="L25" t="s">
        <v>49</v>
      </c>
    </row>
    <row r="26" spans="2:14" x14ac:dyDescent="0.3">
      <c r="J26" t="s">
        <v>52</v>
      </c>
      <c r="K26" t="s">
        <v>82</v>
      </c>
      <c r="L26" t="s">
        <v>49</v>
      </c>
    </row>
    <row r="27" spans="2:14" x14ac:dyDescent="0.3">
      <c r="J27" t="s">
        <v>53</v>
      </c>
      <c r="K27" t="s">
        <v>84</v>
      </c>
      <c r="L27" t="s">
        <v>49</v>
      </c>
    </row>
    <row r="28" spans="2:14" x14ac:dyDescent="0.3">
      <c r="J28" t="s">
        <v>54</v>
      </c>
      <c r="K28" t="s">
        <v>86</v>
      </c>
      <c r="L28" t="s">
        <v>49</v>
      </c>
    </row>
    <row r="29" spans="2:14" x14ac:dyDescent="0.3">
      <c r="J29" t="s">
        <v>55</v>
      </c>
      <c r="K29" t="s">
        <v>88</v>
      </c>
      <c r="L29"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BAF06-01C2-4C26-B949-70F89708C13A}">
  <dimension ref="B1:S40"/>
  <sheetViews>
    <sheetView zoomScale="70" zoomScaleNormal="50" workbookViewId="0">
      <selection activeCell="Q24" sqref="Q24"/>
    </sheetView>
  </sheetViews>
  <sheetFormatPr defaultRowHeight="14.4" x14ac:dyDescent="0.3"/>
  <cols>
    <col min="1" max="1" width="1.88671875" customWidth="1"/>
    <col min="2" max="2" width="30.21875" customWidth="1"/>
    <col min="3" max="3" width="14.44140625" customWidth="1"/>
    <col min="4" max="4" width="13" customWidth="1"/>
    <col min="5" max="5" width="18.109375" customWidth="1"/>
    <col min="6" max="6" width="12.77734375" customWidth="1"/>
    <col min="11" max="11" width="16" customWidth="1"/>
    <col min="12" max="12" width="12.33203125" customWidth="1"/>
    <col min="13" max="13" width="12.88671875" customWidth="1"/>
    <col min="16" max="16" width="14" customWidth="1"/>
    <col min="17" max="17" width="28.109375" customWidth="1"/>
    <col min="19" max="19" width="20.21875" bestFit="1" customWidth="1"/>
  </cols>
  <sheetData>
    <row r="1" spans="2:19" ht="43.2" x14ac:dyDescent="0.3">
      <c r="B1" s="80" t="s">
        <v>92</v>
      </c>
      <c r="C1" s="125" t="s">
        <v>93</v>
      </c>
      <c r="D1" s="125" t="s">
        <v>94</v>
      </c>
      <c r="E1" s="125" t="s">
        <v>95</v>
      </c>
      <c r="F1" s="125" t="s">
        <v>94</v>
      </c>
      <c r="G1" s="125" t="s">
        <v>96</v>
      </c>
      <c r="H1" s="125" t="s">
        <v>94</v>
      </c>
      <c r="I1" s="125" t="s">
        <v>97</v>
      </c>
      <c r="J1" s="125" t="s">
        <v>94</v>
      </c>
      <c r="K1" s="125" t="s">
        <v>98</v>
      </c>
      <c r="L1" s="125" t="s">
        <v>94</v>
      </c>
      <c r="M1" s="125" t="s">
        <v>99</v>
      </c>
      <c r="N1" s="125" t="s">
        <v>94</v>
      </c>
      <c r="O1" s="125" t="s">
        <v>100</v>
      </c>
      <c r="P1" s="125" t="s">
        <v>136</v>
      </c>
      <c r="Q1" s="125" t="s">
        <v>123</v>
      </c>
      <c r="R1" s="125" t="s">
        <v>124</v>
      </c>
      <c r="S1" s="125" t="s">
        <v>58</v>
      </c>
    </row>
    <row r="2" spans="2:19" x14ac:dyDescent="0.3">
      <c r="B2" s="18" t="s">
        <v>64</v>
      </c>
      <c r="C2" s="19">
        <v>0.2208</v>
      </c>
      <c r="D2" s="20">
        <v>13</v>
      </c>
      <c r="E2" s="19">
        <v>0.19040000000000001</v>
      </c>
      <c r="F2" s="20">
        <v>14</v>
      </c>
      <c r="G2" s="19">
        <v>0.13780000000000001</v>
      </c>
      <c r="H2" s="20">
        <v>5</v>
      </c>
      <c r="I2" s="19">
        <v>7.0400000000000004E-2</v>
      </c>
      <c r="J2" s="20">
        <v>2</v>
      </c>
      <c r="K2" s="20">
        <v>6.34</v>
      </c>
      <c r="L2" s="20" t="s">
        <v>101</v>
      </c>
      <c r="M2" s="19">
        <v>0.12659999999999999</v>
      </c>
      <c r="N2" s="20">
        <v>8</v>
      </c>
      <c r="O2" s="21">
        <v>52</v>
      </c>
      <c r="P2" s="20">
        <v>1008</v>
      </c>
      <c r="Q2" s="86">
        <f>O2/SUM($O$2:$O$8)</f>
        <v>0.14168937329700274</v>
      </c>
      <c r="R2" s="102">
        <f>$M$20</f>
        <v>0.45</v>
      </c>
      <c r="S2" s="55">
        <f>R2*Q2*$L$25</f>
        <v>5.8659400544959141E-2</v>
      </c>
    </row>
    <row r="3" spans="2:19" x14ac:dyDescent="0.3">
      <c r="B3" s="18" t="s">
        <v>65</v>
      </c>
      <c r="C3" s="19">
        <v>0.16969999999999999</v>
      </c>
      <c r="D3" s="20">
        <v>11</v>
      </c>
      <c r="E3" s="19">
        <v>0.2414</v>
      </c>
      <c r="F3" s="20">
        <v>17</v>
      </c>
      <c r="G3" s="19">
        <v>0.161</v>
      </c>
      <c r="H3" s="20">
        <v>8</v>
      </c>
      <c r="I3" s="19">
        <v>7.1999999999999995E-2</v>
      </c>
      <c r="J3" s="20">
        <v>2</v>
      </c>
      <c r="K3" s="20">
        <v>5.69</v>
      </c>
      <c r="L3" s="20" t="s">
        <v>101</v>
      </c>
      <c r="M3" s="19">
        <v>0.19650000000000001</v>
      </c>
      <c r="N3" s="20">
        <v>11</v>
      </c>
      <c r="O3" s="21">
        <v>59</v>
      </c>
      <c r="P3" s="20">
        <v>1462</v>
      </c>
      <c r="Q3" s="86">
        <f t="shared" ref="Q3:Q8" si="0">O3/SUM($O$2:$O$8)</f>
        <v>0.16076294277929154</v>
      </c>
      <c r="R3" s="102">
        <f t="shared" ref="R3:R8" si="1">$M$20</f>
        <v>0.45</v>
      </c>
      <c r="S3" s="55">
        <f t="shared" ref="S3:S16" si="2">R3*Q3*$L$25</f>
        <v>6.65558583106267E-2</v>
      </c>
    </row>
    <row r="4" spans="2:19" x14ac:dyDescent="0.3">
      <c r="B4" s="18" t="s">
        <v>102</v>
      </c>
      <c r="C4" s="19">
        <v>0.1022</v>
      </c>
      <c r="D4" s="20">
        <v>8</v>
      </c>
      <c r="E4" s="19">
        <v>9.4500000000000001E-2</v>
      </c>
      <c r="F4" s="20">
        <v>6</v>
      </c>
      <c r="G4" s="19">
        <v>0.51800000000000002</v>
      </c>
      <c r="H4" s="20">
        <v>15</v>
      </c>
      <c r="I4" s="19">
        <v>0.63029999999999997</v>
      </c>
      <c r="J4" s="20">
        <v>20</v>
      </c>
      <c r="K4" s="20">
        <v>0.11</v>
      </c>
      <c r="L4" s="20">
        <v>9</v>
      </c>
      <c r="M4" s="19">
        <v>0.1061</v>
      </c>
      <c r="N4" s="20">
        <v>8</v>
      </c>
      <c r="O4" s="21">
        <v>66</v>
      </c>
      <c r="P4" s="20">
        <v>3442</v>
      </c>
      <c r="Q4" s="86">
        <f t="shared" si="0"/>
        <v>0.17983651226158037</v>
      </c>
      <c r="R4" s="102">
        <f t="shared" si="1"/>
        <v>0.45</v>
      </c>
      <c r="S4" s="55">
        <f t="shared" si="2"/>
        <v>7.4452316076294281E-2</v>
      </c>
    </row>
    <row r="5" spans="2:19" x14ac:dyDescent="0.3">
      <c r="B5" s="18" t="s">
        <v>68</v>
      </c>
      <c r="C5" s="19">
        <v>0.122</v>
      </c>
      <c r="D5" s="20">
        <v>8</v>
      </c>
      <c r="E5" s="19">
        <v>9.2899999999999996E-2</v>
      </c>
      <c r="F5" s="20">
        <v>6</v>
      </c>
      <c r="G5" s="19">
        <v>0.31900000000000001</v>
      </c>
      <c r="H5" s="20">
        <v>15</v>
      </c>
      <c r="I5" s="19">
        <v>0.4</v>
      </c>
      <c r="J5" s="20">
        <v>17</v>
      </c>
      <c r="K5" s="20">
        <v>0.1</v>
      </c>
      <c r="L5" s="20">
        <v>9</v>
      </c>
      <c r="M5" s="19">
        <v>0.1157</v>
      </c>
      <c r="N5" s="20">
        <v>8</v>
      </c>
      <c r="O5" s="21">
        <v>63</v>
      </c>
      <c r="P5" s="20">
        <v>1640</v>
      </c>
      <c r="Q5" s="86">
        <f t="shared" si="0"/>
        <v>0.17166212534059946</v>
      </c>
      <c r="R5" s="102">
        <f t="shared" si="1"/>
        <v>0.45</v>
      </c>
      <c r="S5" s="55">
        <f t="shared" si="2"/>
        <v>7.1068119891008183E-2</v>
      </c>
    </row>
    <row r="6" spans="2:19" x14ac:dyDescent="0.3">
      <c r="B6" s="18" t="s">
        <v>69</v>
      </c>
      <c r="C6" s="19">
        <v>3.3500000000000002E-2</v>
      </c>
      <c r="D6" s="20">
        <v>2</v>
      </c>
      <c r="E6" s="19">
        <v>4.3499999999999997E-2</v>
      </c>
      <c r="F6" s="20">
        <v>2</v>
      </c>
      <c r="G6" s="19">
        <v>0.16500000000000001</v>
      </c>
      <c r="H6" s="20">
        <v>8</v>
      </c>
      <c r="I6" s="19">
        <v>9.74E-2</v>
      </c>
      <c r="J6" s="20">
        <v>2</v>
      </c>
      <c r="K6" s="20">
        <v>1.47</v>
      </c>
      <c r="L6" s="20">
        <v>3</v>
      </c>
      <c r="M6" s="19">
        <v>0.1197</v>
      </c>
      <c r="N6" s="20">
        <v>8</v>
      </c>
      <c r="O6" s="21">
        <v>25</v>
      </c>
      <c r="P6" s="20">
        <v>288</v>
      </c>
      <c r="Q6" s="86">
        <f t="shared" si="0"/>
        <v>6.8119891008174394E-2</v>
      </c>
      <c r="R6" s="102">
        <f t="shared" si="1"/>
        <v>0.45</v>
      </c>
      <c r="S6" s="55">
        <f t="shared" si="2"/>
        <v>2.8201634877384203E-2</v>
      </c>
    </row>
    <row r="7" spans="2:19" x14ac:dyDescent="0.3">
      <c r="B7" s="18" t="s">
        <v>71</v>
      </c>
      <c r="C7" s="19">
        <v>0.17760000000000001</v>
      </c>
      <c r="D7" s="20">
        <v>11</v>
      </c>
      <c r="E7" s="19">
        <v>0.1198</v>
      </c>
      <c r="F7" s="20">
        <v>10</v>
      </c>
      <c r="G7" s="19">
        <v>8.9099999999999999E-2</v>
      </c>
      <c r="H7" s="20">
        <v>2</v>
      </c>
      <c r="I7" s="19">
        <v>0.10299999999999999</v>
      </c>
      <c r="J7" s="20">
        <v>6</v>
      </c>
      <c r="K7" s="20">
        <v>0.45</v>
      </c>
      <c r="L7" s="20">
        <v>7</v>
      </c>
      <c r="M7" s="19">
        <v>0.19850000000000001</v>
      </c>
      <c r="N7" s="20">
        <v>11</v>
      </c>
      <c r="O7" s="21">
        <v>47</v>
      </c>
      <c r="P7" s="20">
        <v>1527</v>
      </c>
      <c r="Q7" s="86">
        <f t="shared" si="0"/>
        <v>0.12806539509536785</v>
      </c>
      <c r="R7" s="102">
        <f t="shared" si="1"/>
        <v>0.45</v>
      </c>
      <c r="S7" s="55">
        <f t="shared" si="2"/>
        <v>5.3019073569482295E-2</v>
      </c>
    </row>
    <row r="8" spans="2:19" x14ac:dyDescent="0.3">
      <c r="B8" s="18" t="s">
        <v>43</v>
      </c>
      <c r="C8" s="19">
        <v>9.8699999999999996E-2</v>
      </c>
      <c r="D8" s="20">
        <v>5</v>
      </c>
      <c r="E8" s="19">
        <v>9.6199999999999994E-2</v>
      </c>
      <c r="F8" s="20">
        <v>6</v>
      </c>
      <c r="G8" s="19">
        <v>0.29299999999999998</v>
      </c>
      <c r="H8" s="20">
        <v>13</v>
      </c>
      <c r="I8" s="19">
        <v>0.38900000000000001</v>
      </c>
      <c r="J8" s="20">
        <v>17</v>
      </c>
      <c r="K8" s="20">
        <v>0.03</v>
      </c>
      <c r="L8" s="20">
        <v>9</v>
      </c>
      <c r="M8" s="19">
        <v>5.96E-2</v>
      </c>
      <c r="N8" s="20">
        <v>5</v>
      </c>
      <c r="O8" s="21">
        <v>55</v>
      </c>
      <c r="P8" s="20">
        <v>418</v>
      </c>
      <c r="Q8" s="86">
        <f t="shared" si="0"/>
        <v>0.14986376021798364</v>
      </c>
      <c r="R8" s="102">
        <f t="shared" si="1"/>
        <v>0.45</v>
      </c>
      <c r="S8" s="55">
        <f t="shared" si="2"/>
        <v>6.2043596730245232E-2</v>
      </c>
    </row>
    <row r="9" spans="2:19" x14ac:dyDescent="0.3">
      <c r="B9" s="14" t="s">
        <v>74</v>
      </c>
      <c r="C9" s="15">
        <v>0.2863</v>
      </c>
      <c r="D9" s="16">
        <v>15</v>
      </c>
      <c r="E9" s="15">
        <v>0.35909999999999997</v>
      </c>
      <c r="F9" s="16">
        <v>20</v>
      </c>
      <c r="G9" s="15">
        <v>0.27300000000000002</v>
      </c>
      <c r="H9" s="16">
        <v>13</v>
      </c>
      <c r="I9" s="15">
        <v>0.34399999999999997</v>
      </c>
      <c r="J9" s="16">
        <v>17</v>
      </c>
      <c r="K9" s="16">
        <v>0.06</v>
      </c>
      <c r="L9" s="16">
        <v>9</v>
      </c>
      <c r="M9" s="15">
        <v>0.32129999999999997</v>
      </c>
      <c r="N9" s="16">
        <v>20</v>
      </c>
      <c r="O9" s="17">
        <v>94</v>
      </c>
      <c r="P9" s="16">
        <v>6010</v>
      </c>
      <c r="Q9" s="88">
        <f>O9/SUM($O$9:$O$11)</f>
        <v>0.3715415019762846</v>
      </c>
      <c r="R9" s="126">
        <f>$M$21</f>
        <v>0.3</v>
      </c>
      <c r="S9" s="61">
        <f t="shared" si="2"/>
        <v>0.10254545454545456</v>
      </c>
    </row>
    <row r="10" spans="2:19" x14ac:dyDescent="0.3">
      <c r="B10" s="14" t="s">
        <v>76</v>
      </c>
      <c r="C10" s="15">
        <v>0.2273</v>
      </c>
      <c r="D10" s="16">
        <v>13</v>
      </c>
      <c r="E10" s="15">
        <v>0.30819999999999997</v>
      </c>
      <c r="F10" s="16">
        <v>20</v>
      </c>
      <c r="G10" s="15">
        <v>0.30199999999999999</v>
      </c>
      <c r="H10" s="16">
        <v>13</v>
      </c>
      <c r="I10" s="15">
        <v>0.39050000000000001</v>
      </c>
      <c r="J10" s="16">
        <v>20</v>
      </c>
      <c r="K10" s="16">
        <v>0</v>
      </c>
      <c r="L10" s="16">
        <v>10</v>
      </c>
      <c r="M10" s="15">
        <v>0.16650000000000001</v>
      </c>
      <c r="N10" s="16">
        <v>11</v>
      </c>
      <c r="O10" s="17">
        <v>87</v>
      </c>
      <c r="P10" s="16">
        <v>3337</v>
      </c>
      <c r="Q10" s="88">
        <f t="shared" ref="Q10:Q11" si="3">O10/SUM($O$9:$O$11)</f>
        <v>0.34387351778656128</v>
      </c>
      <c r="R10" s="126">
        <f t="shared" ref="R10:R11" si="4">$M$21</f>
        <v>0.3</v>
      </c>
      <c r="S10" s="61">
        <f t="shared" si="2"/>
        <v>9.4909090909090915E-2</v>
      </c>
    </row>
    <row r="11" spans="2:19" x14ac:dyDescent="0.3">
      <c r="B11" s="14" t="s">
        <v>78</v>
      </c>
      <c r="C11" s="15">
        <v>0.1552</v>
      </c>
      <c r="D11" s="16">
        <v>11</v>
      </c>
      <c r="E11" s="15">
        <v>0.13750000000000001</v>
      </c>
      <c r="F11" s="16">
        <v>10</v>
      </c>
      <c r="G11" s="15">
        <v>0.23599999999999999</v>
      </c>
      <c r="H11" s="16">
        <v>11</v>
      </c>
      <c r="I11" s="15">
        <v>0.3</v>
      </c>
      <c r="J11" s="16">
        <v>17</v>
      </c>
      <c r="K11" s="16">
        <v>0.05</v>
      </c>
      <c r="L11" s="16">
        <v>9</v>
      </c>
      <c r="M11" s="15">
        <v>0.22120000000000001</v>
      </c>
      <c r="N11" s="16">
        <v>14</v>
      </c>
      <c r="O11" s="17">
        <v>72</v>
      </c>
      <c r="P11" s="16">
        <v>6345</v>
      </c>
      <c r="Q11" s="88">
        <f t="shared" si="3"/>
        <v>0.28458498023715417</v>
      </c>
      <c r="R11" s="126">
        <f t="shared" si="4"/>
        <v>0.3</v>
      </c>
      <c r="S11" s="61">
        <f t="shared" si="2"/>
        <v>7.8545454545454557E-2</v>
      </c>
    </row>
    <row r="12" spans="2:19" x14ac:dyDescent="0.3">
      <c r="B12" s="22" t="s">
        <v>103</v>
      </c>
      <c r="C12" s="23">
        <v>0.32790000000000002</v>
      </c>
      <c r="D12" s="24">
        <v>15</v>
      </c>
      <c r="E12" s="23">
        <v>0.37559999999999999</v>
      </c>
      <c r="F12" s="24">
        <v>20</v>
      </c>
      <c r="G12" s="23">
        <v>0.16900000000000001</v>
      </c>
      <c r="H12" s="24">
        <v>8</v>
      </c>
      <c r="I12" s="23">
        <v>0.23300000000000001</v>
      </c>
      <c r="J12" s="24">
        <v>14</v>
      </c>
      <c r="K12" s="24">
        <v>0</v>
      </c>
      <c r="L12" s="24">
        <v>10</v>
      </c>
      <c r="M12" s="23">
        <v>0.1472</v>
      </c>
      <c r="N12" s="24">
        <v>8</v>
      </c>
      <c r="O12" s="25">
        <v>75</v>
      </c>
      <c r="P12" s="24">
        <v>2824</v>
      </c>
      <c r="Q12" s="127">
        <f>O12/SUM($O$12:$O$16)</f>
        <v>0.1875</v>
      </c>
      <c r="R12" s="128">
        <f>$M$22</f>
        <v>0.25</v>
      </c>
      <c r="S12" s="129">
        <f t="shared" si="2"/>
        <v>4.3125000000000004E-2</v>
      </c>
    </row>
    <row r="13" spans="2:19" x14ac:dyDescent="0.3">
      <c r="B13" s="22" t="s">
        <v>81</v>
      </c>
      <c r="C13" s="23">
        <v>0.16639999999999999</v>
      </c>
      <c r="D13" s="24">
        <v>11</v>
      </c>
      <c r="E13" s="23">
        <v>0.38740000000000002</v>
      </c>
      <c r="F13" s="24">
        <v>20</v>
      </c>
      <c r="G13" s="23">
        <v>0.214</v>
      </c>
      <c r="H13" s="24">
        <v>11</v>
      </c>
      <c r="I13" s="23">
        <v>0.26600000000000001</v>
      </c>
      <c r="J13" s="24">
        <v>14</v>
      </c>
      <c r="K13" s="24">
        <v>0.16</v>
      </c>
      <c r="L13" s="24">
        <v>9</v>
      </c>
      <c r="M13" s="23">
        <v>0.32240000000000002</v>
      </c>
      <c r="N13" s="24">
        <v>20</v>
      </c>
      <c r="O13" s="25">
        <v>85</v>
      </c>
      <c r="P13" s="24">
        <v>12120</v>
      </c>
      <c r="Q13" s="127">
        <f t="shared" ref="Q13:Q16" si="5">O13/SUM($O$12:$O$16)</f>
        <v>0.21249999999999999</v>
      </c>
      <c r="R13" s="128">
        <f t="shared" ref="R13:R16" si="6">$M$22</f>
        <v>0.25</v>
      </c>
      <c r="S13" s="129">
        <f t="shared" si="2"/>
        <v>4.8875000000000002E-2</v>
      </c>
    </row>
    <row r="14" spans="2:19" x14ac:dyDescent="0.3">
      <c r="B14" s="22" t="s">
        <v>83</v>
      </c>
      <c r="C14" s="23">
        <v>0.29349999999999998</v>
      </c>
      <c r="D14" s="24">
        <v>15</v>
      </c>
      <c r="E14" s="23">
        <v>1.1777</v>
      </c>
      <c r="F14" s="24">
        <v>20</v>
      </c>
      <c r="G14" s="23">
        <v>0.45300000000000001</v>
      </c>
      <c r="H14" s="24">
        <v>15</v>
      </c>
      <c r="I14" s="23">
        <v>0.58399999999999996</v>
      </c>
      <c r="J14" s="24">
        <v>20</v>
      </c>
      <c r="K14" s="24">
        <v>0.03</v>
      </c>
      <c r="L14" s="24">
        <v>9</v>
      </c>
      <c r="M14" s="23">
        <v>0.31630000000000003</v>
      </c>
      <c r="N14" s="24">
        <v>20</v>
      </c>
      <c r="O14" s="25">
        <v>99</v>
      </c>
      <c r="P14" s="24">
        <v>630</v>
      </c>
      <c r="Q14" s="127">
        <f t="shared" si="5"/>
        <v>0.2475</v>
      </c>
      <c r="R14" s="128">
        <f t="shared" si="6"/>
        <v>0.25</v>
      </c>
      <c r="S14" s="129">
        <f t="shared" si="2"/>
        <v>5.6925000000000003E-2</v>
      </c>
    </row>
    <row r="15" spans="2:19" x14ac:dyDescent="0.3">
      <c r="B15" s="22" t="s">
        <v>85</v>
      </c>
      <c r="C15" s="23">
        <v>0.185</v>
      </c>
      <c r="D15" s="24">
        <v>11</v>
      </c>
      <c r="E15" s="23">
        <v>0.2535</v>
      </c>
      <c r="F15" s="24">
        <v>17</v>
      </c>
      <c r="G15" s="23">
        <v>0.17699999999999999</v>
      </c>
      <c r="H15" s="24">
        <v>8</v>
      </c>
      <c r="I15" s="23">
        <v>0.14699999999999999</v>
      </c>
      <c r="J15" s="24">
        <v>6</v>
      </c>
      <c r="K15" s="24">
        <v>1.48</v>
      </c>
      <c r="L15" s="24">
        <v>3</v>
      </c>
      <c r="M15" s="23">
        <v>0.1285</v>
      </c>
      <c r="N15" s="24">
        <v>8</v>
      </c>
      <c r="O15" s="25">
        <v>53</v>
      </c>
      <c r="P15" s="24">
        <v>860</v>
      </c>
      <c r="Q15" s="127">
        <f t="shared" si="5"/>
        <v>0.13250000000000001</v>
      </c>
      <c r="R15" s="128">
        <f t="shared" si="6"/>
        <v>0.25</v>
      </c>
      <c r="S15" s="129">
        <f t="shared" si="2"/>
        <v>3.0475000000000002E-2</v>
      </c>
    </row>
    <row r="16" spans="2:19" x14ac:dyDescent="0.3">
      <c r="B16" s="22" t="s">
        <v>104</v>
      </c>
      <c r="C16" s="23">
        <v>0.2732</v>
      </c>
      <c r="D16" s="24">
        <v>15</v>
      </c>
      <c r="E16" s="23">
        <v>0.58689999999999998</v>
      </c>
      <c r="F16" s="24">
        <v>20</v>
      </c>
      <c r="G16" s="23">
        <v>0.27400000000000002</v>
      </c>
      <c r="H16" s="24">
        <v>13</v>
      </c>
      <c r="I16" s="23">
        <v>0.17499999999999999</v>
      </c>
      <c r="J16" s="24">
        <v>10</v>
      </c>
      <c r="K16" s="24">
        <v>2.8</v>
      </c>
      <c r="L16" s="24" t="s">
        <v>101</v>
      </c>
      <c r="M16" s="23">
        <v>0.50919999999999999</v>
      </c>
      <c r="N16" s="24">
        <v>20</v>
      </c>
      <c r="O16" s="25">
        <v>88</v>
      </c>
      <c r="P16" s="24">
        <v>1658</v>
      </c>
      <c r="Q16" s="127">
        <f t="shared" si="5"/>
        <v>0.22</v>
      </c>
      <c r="R16" s="128">
        <f t="shared" si="6"/>
        <v>0.25</v>
      </c>
      <c r="S16" s="129">
        <f t="shared" si="2"/>
        <v>5.0599999999999999E-2</v>
      </c>
    </row>
    <row r="19" spans="2:13" x14ac:dyDescent="0.3">
      <c r="B19" s="13" t="s">
        <v>118</v>
      </c>
      <c r="M19" s="79" t="s">
        <v>128</v>
      </c>
    </row>
    <row r="20" spans="2:13" x14ac:dyDescent="0.3">
      <c r="B20" s="8"/>
      <c r="K20" s="26"/>
      <c r="L20" t="s">
        <v>125</v>
      </c>
      <c r="M20" s="7">
        <v>0.45</v>
      </c>
    </row>
    <row r="21" spans="2:13" x14ac:dyDescent="0.3">
      <c r="B21" s="9" t="s">
        <v>105</v>
      </c>
      <c r="K21" s="27"/>
      <c r="L21" t="s">
        <v>126</v>
      </c>
      <c r="M21" s="7">
        <v>0.3</v>
      </c>
    </row>
    <row r="22" spans="2:13" x14ac:dyDescent="0.3">
      <c r="B22" s="10"/>
      <c r="K22" s="28"/>
      <c r="L22" t="s">
        <v>127</v>
      </c>
      <c r="M22" s="7">
        <v>0.25</v>
      </c>
    </row>
    <row r="23" spans="2:13" x14ac:dyDescent="0.3">
      <c r="B23" s="10" t="s">
        <v>106</v>
      </c>
    </row>
    <row r="24" spans="2:13" x14ac:dyDescent="0.3">
      <c r="B24" s="10" t="s">
        <v>107</v>
      </c>
    </row>
    <row r="25" spans="2:13" x14ac:dyDescent="0.3">
      <c r="B25" s="10" t="s">
        <v>108</v>
      </c>
      <c r="K25" t="s">
        <v>129</v>
      </c>
      <c r="L25" s="7">
        <v>0.92</v>
      </c>
    </row>
    <row r="26" spans="2:13" x14ac:dyDescent="0.3">
      <c r="B26" s="10" t="s">
        <v>109</v>
      </c>
      <c r="K26" t="s">
        <v>130</v>
      </c>
      <c r="L26" s="7">
        <v>0.05</v>
      </c>
    </row>
    <row r="27" spans="2:13" x14ac:dyDescent="0.3">
      <c r="B27" s="10" t="s">
        <v>110</v>
      </c>
      <c r="K27" s="29" t="s">
        <v>90</v>
      </c>
      <c r="L27" s="7">
        <v>0.03</v>
      </c>
    </row>
    <row r="28" spans="2:13" x14ac:dyDescent="0.3">
      <c r="B28" s="10" t="s">
        <v>111</v>
      </c>
    </row>
    <row r="29" spans="2:13" x14ac:dyDescent="0.3">
      <c r="B29" s="8"/>
    </row>
    <row r="30" spans="2:13" x14ac:dyDescent="0.3">
      <c r="B30" s="9" t="s">
        <v>112</v>
      </c>
    </row>
    <row r="31" spans="2:13" x14ac:dyDescent="0.3">
      <c r="B31" s="10"/>
    </row>
    <row r="32" spans="2:13" x14ac:dyDescent="0.3">
      <c r="B32" s="11" t="s">
        <v>113</v>
      </c>
    </row>
    <row r="33" spans="2:2" x14ac:dyDescent="0.3">
      <c r="B33" s="12" t="s">
        <v>119</v>
      </c>
    </row>
    <row r="34" spans="2:2" x14ac:dyDescent="0.3">
      <c r="B34" s="12" t="s">
        <v>114</v>
      </c>
    </row>
    <row r="35" spans="2:2" x14ac:dyDescent="0.3">
      <c r="B35" s="11" t="s">
        <v>115</v>
      </c>
    </row>
    <row r="36" spans="2:2" x14ac:dyDescent="0.3">
      <c r="B36" s="12" t="s">
        <v>120</v>
      </c>
    </row>
    <row r="37" spans="2:2" x14ac:dyDescent="0.3">
      <c r="B37" s="12" t="s">
        <v>116</v>
      </c>
    </row>
    <row r="38" spans="2:2" x14ac:dyDescent="0.3">
      <c r="B38" s="11" t="s">
        <v>117</v>
      </c>
    </row>
    <row r="39" spans="2:2" x14ac:dyDescent="0.3">
      <c r="B39" s="12" t="s">
        <v>121</v>
      </c>
    </row>
    <row r="40" spans="2:2" x14ac:dyDescent="0.3">
      <c r="B40" s="12"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622B8-0582-47EB-B33F-5DC1C4086A3E}">
  <dimension ref="B1:E18"/>
  <sheetViews>
    <sheetView topLeftCell="B1" zoomScale="90" workbookViewId="0">
      <selection activeCell="D8" sqref="D8"/>
    </sheetView>
  </sheetViews>
  <sheetFormatPr defaultRowHeight="14.4" x14ac:dyDescent="0.3"/>
  <cols>
    <col min="1" max="1" width="1.88671875" customWidth="1"/>
    <col min="2" max="2" width="34.5546875" customWidth="1"/>
    <col min="3" max="3" width="17.21875" customWidth="1"/>
    <col min="4" max="4" width="20" customWidth="1"/>
    <col min="5" max="5" width="74" customWidth="1"/>
  </cols>
  <sheetData>
    <row r="1" spans="2:5" x14ac:dyDescent="0.3">
      <c r="B1" s="143" t="s">
        <v>92</v>
      </c>
      <c r="C1" s="143" t="s">
        <v>360</v>
      </c>
      <c r="D1" s="143" t="s">
        <v>148</v>
      </c>
      <c r="E1" s="143" t="s">
        <v>361</v>
      </c>
    </row>
    <row r="2" spans="2:5" x14ac:dyDescent="0.3">
      <c r="B2" s="144" t="s">
        <v>64</v>
      </c>
      <c r="C2" s="141">
        <v>0.12659999999999899</v>
      </c>
      <c r="D2" s="141">
        <v>1.05</v>
      </c>
      <c r="E2" s="141" t="s">
        <v>362</v>
      </c>
    </row>
    <row r="3" spans="2:5" x14ac:dyDescent="0.3">
      <c r="B3" s="144" t="s">
        <v>65</v>
      </c>
      <c r="C3" s="141">
        <v>0.19650000000000001</v>
      </c>
      <c r="D3" s="141">
        <v>0.95</v>
      </c>
      <c r="E3" s="141" t="s">
        <v>363</v>
      </c>
    </row>
    <row r="4" spans="2:5" x14ac:dyDescent="0.3">
      <c r="B4" s="144" t="s">
        <v>102</v>
      </c>
      <c r="C4" s="141">
        <v>0.1061</v>
      </c>
      <c r="D4" s="141">
        <v>1</v>
      </c>
      <c r="E4" s="141" t="s">
        <v>364</v>
      </c>
    </row>
    <row r="5" spans="2:5" x14ac:dyDescent="0.3">
      <c r="B5" s="144" t="s">
        <v>68</v>
      </c>
      <c r="C5" s="141">
        <v>0.1157</v>
      </c>
      <c r="D5" s="141">
        <v>1.08</v>
      </c>
      <c r="E5" s="141" t="s">
        <v>365</v>
      </c>
    </row>
    <row r="6" spans="2:5" x14ac:dyDescent="0.3">
      <c r="B6" s="144" t="s">
        <v>149</v>
      </c>
      <c r="C6" s="141">
        <v>0.1197</v>
      </c>
      <c r="D6" s="141">
        <v>1.05</v>
      </c>
      <c r="E6" s="141" t="s">
        <v>366</v>
      </c>
    </row>
    <row r="7" spans="2:5" x14ac:dyDescent="0.3">
      <c r="B7" s="144" t="s">
        <v>71</v>
      </c>
      <c r="C7" s="141">
        <v>0.19850000000000001</v>
      </c>
      <c r="D7" s="141">
        <v>0.95</v>
      </c>
      <c r="E7" s="141" t="s">
        <v>367</v>
      </c>
    </row>
    <row r="8" spans="2:5" x14ac:dyDescent="0.3">
      <c r="B8" s="144" t="s">
        <v>43</v>
      </c>
      <c r="C8" s="142">
        <v>5.96E-2</v>
      </c>
      <c r="D8" s="141">
        <v>1.1499999999999899</v>
      </c>
      <c r="E8" s="141" t="s">
        <v>368</v>
      </c>
    </row>
    <row r="9" spans="2:5" x14ac:dyDescent="0.3">
      <c r="B9" s="144" t="s">
        <v>74</v>
      </c>
      <c r="C9" s="141">
        <v>0.32129999999999898</v>
      </c>
      <c r="D9" s="141">
        <v>0.84</v>
      </c>
      <c r="E9" s="141" t="s">
        <v>369</v>
      </c>
    </row>
    <row r="10" spans="2:5" x14ac:dyDescent="0.3">
      <c r="B10" s="144" t="s">
        <v>76</v>
      </c>
      <c r="C10" s="141">
        <v>0.16650000000000001</v>
      </c>
      <c r="D10" s="141">
        <v>1.08</v>
      </c>
      <c r="E10" s="141" t="s">
        <v>370</v>
      </c>
    </row>
    <row r="11" spans="2:5" x14ac:dyDescent="0.3">
      <c r="B11" s="144" t="s">
        <v>78</v>
      </c>
      <c r="C11" s="141">
        <v>0.22120000000000001</v>
      </c>
      <c r="D11" s="141">
        <v>0.9</v>
      </c>
      <c r="E11" s="141" t="s">
        <v>371</v>
      </c>
    </row>
    <row r="12" spans="2:5" x14ac:dyDescent="0.3">
      <c r="B12" s="144" t="s">
        <v>103</v>
      </c>
      <c r="C12" s="141">
        <v>0.1472</v>
      </c>
      <c r="D12" s="141">
        <v>1.1499999999999899</v>
      </c>
      <c r="E12" s="141" t="s">
        <v>372</v>
      </c>
    </row>
    <row r="13" spans="2:5" ht="22.8" x14ac:dyDescent="0.3">
      <c r="B13" s="144" t="s">
        <v>81</v>
      </c>
      <c r="C13" s="141">
        <v>0.32240000000000002</v>
      </c>
      <c r="D13" s="141">
        <v>0.8</v>
      </c>
      <c r="E13" s="141" t="s">
        <v>373</v>
      </c>
    </row>
    <row r="14" spans="2:5" x14ac:dyDescent="0.3">
      <c r="B14" s="144" t="s">
        <v>83</v>
      </c>
      <c r="C14" s="141">
        <v>0.31630000000000003</v>
      </c>
      <c r="D14" s="141">
        <v>0.72</v>
      </c>
      <c r="E14" s="141" t="s">
        <v>374</v>
      </c>
    </row>
    <row r="15" spans="2:5" x14ac:dyDescent="0.3">
      <c r="B15" s="144" t="s">
        <v>85</v>
      </c>
      <c r="C15" s="141">
        <v>0.1285</v>
      </c>
      <c r="D15" s="141">
        <v>1.05</v>
      </c>
      <c r="E15" s="141" t="s">
        <v>375</v>
      </c>
    </row>
    <row r="16" spans="2:5" x14ac:dyDescent="0.3">
      <c r="B16" s="144" t="s">
        <v>87</v>
      </c>
      <c r="C16" s="141">
        <v>0.50919999999999899</v>
      </c>
      <c r="D16" s="141">
        <v>0.7</v>
      </c>
      <c r="E16" s="141" t="s">
        <v>376</v>
      </c>
    </row>
    <row r="17" spans="2:5" x14ac:dyDescent="0.3">
      <c r="B17" s="144" t="s">
        <v>150</v>
      </c>
      <c r="C17" s="141">
        <v>0.13869999999999899</v>
      </c>
      <c r="D17" s="141">
        <v>0.95</v>
      </c>
      <c r="E17" s="141" t="s">
        <v>377</v>
      </c>
    </row>
    <row r="18" spans="2:5" x14ac:dyDescent="0.3">
      <c r="B18" s="144" t="s">
        <v>151</v>
      </c>
      <c r="C18" s="142">
        <v>7.5600000000000001E-2</v>
      </c>
      <c r="D18" s="141">
        <v>1</v>
      </c>
      <c r="E18" s="141" t="s">
        <v>378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E8A8-5B9D-4236-B500-C45D1164D749}">
  <dimension ref="C1:N107"/>
  <sheetViews>
    <sheetView topLeftCell="B1" zoomScale="73" zoomScaleNormal="149" workbookViewId="0">
      <selection activeCell="M29" sqref="M29"/>
    </sheetView>
  </sheetViews>
  <sheetFormatPr defaultRowHeight="14.4" x14ac:dyDescent="0.3"/>
  <cols>
    <col min="1" max="2" width="1.88671875" customWidth="1"/>
    <col min="3" max="3" width="25.88671875" customWidth="1"/>
    <col min="4" max="4" width="36.6640625" customWidth="1"/>
    <col min="5" max="5" width="12.6640625" customWidth="1"/>
    <col min="6" max="6" width="20.88671875" bestFit="1" customWidth="1"/>
    <col min="7" max="7" width="11.88671875" customWidth="1"/>
    <col min="8" max="8" width="14.5546875" bestFit="1" customWidth="1"/>
    <col min="9" max="9" width="16.77734375" customWidth="1"/>
    <col min="10" max="10" width="13.88671875" bestFit="1" customWidth="1"/>
    <col min="11" max="11" width="21.109375" customWidth="1"/>
    <col min="12" max="12" width="9.77734375" bestFit="1" customWidth="1"/>
    <col min="13" max="13" width="18.5546875" customWidth="1"/>
    <col min="14" max="14" width="16.77734375" customWidth="1"/>
  </cols>
  <sheetData>
    <row r="1" spans="3:14" x14ac:dyDescent="0.3">
      <c r="C1" s="34" t="s">
        <v>132</v>
      </c>
      <c r="D1" s="35">
        <v>8000000</v>
      </c>
      <c r="E1" s="34"/>
      <c r="F1" s="34" t="s">
        <v>133</v>
      </c>
      <c r="G1" s="36">
        <v>0.1835</v>
      </c>
      <c r="H1" s="34"/>
      <c r="I1" s="34"/>
      <c r="J1" s="34" t="s">
        <v>135</v>
      </c>
      <c r="K1" s="37">
        <v>8</v>
      </c>
      <c r="L1" s="34"/>
      <c r="M1" s="34" t="s">
        <v>134</v>
      </c>
      <c r="N1" s="35">
        <v>30800000</v>
      </c>
    </row>
    <row r="2" spans="3:14" ht="28.8" x14ac:dyDescent="0.3">
      <c r="C2" s="52" t="s">
        <v>57</v>
      </c>
      <c r="D2" s="52" t="s">
        <v>17</v>
      </c>
      <c r="E2" s="53" t="s">
        <v>58</v>
      </c>
      <c r="F2" s="53" t="s">
        <v>59</v>
      </c>
      <c r="G2" s="53" t="s">
        <v>61</v>
      </c>
      <c r="H2" s="53" t="s">
        <v>60</v>
      </c>
      <c r="I2" s="53" t="s">
        <v>235</v>
      </c>
      <c r="J2" s="53" t="s">
        <v>56</v>
      </c>
      <c r="K2" s="53" t="s">
        <v>62</v>
      </c>
      <c r="L2" s="53" t="s">
        <v>63</v>
      </c>
      <c r="M2" s="53" t="s">
        <v>152</v>
      </c>
      <c r="N2" s="53" t="s">
        <v>153</v>
      </c>
    </row>
    <row r="3" spans="3:14" x14ac:dyDescent="0.3">
      <c r="C3" s="54" t="s">
        <v>64</v>
      </c>
      <c r="D3" s="54" t="s">
        <v>28</v>
      </c>
      <c r="E3" s="55">
        <f>IFERROR('Stock Allocation Model'!S2,0)</f>
        <v>5.8659400544959141E-2</v>
      </c>
      <c r="F3" s="56">
        <f>$D$1*E3</f>
        <v>469275.20435967314</v>
      </c>
      <c r="G3" s="55">
        <f>IFERROR('Stock Allocation Model'!M2,0)</f>
        <v>0.12659999999999999</v>
      </c>
      <c r="H3" s="57">
        <f>IFERROR('Stock Allocation Model'!P2,0)</f>
        <v>1008</v>
      </c>
      <c r="I3" s="58">
        <f>IFERROR('Adjustment Factor'!D2,0)</f>
        <v>1.05</v>
      </c>
      <c r="J3" s="55">
        <f>G3*I3</f>
        <v>0.13292999999999999</v>
      </c>
      <c r="K3" s="56">
        <f t="shared" ref="K3:K19" si="0">H3*(1+J3)^$K$1</f>
        <v>2735.8050613858741</v>
      </c>
      <c r="L3" s="59">
        <f>F3/H3</f>
        <v>465.5507979758662</v>
      </c>
      <c r="M3" s="56">
        <f>L3*K3</f>
        <v>1273656.2294346073</v>
      </c>
      <c r="N3" s="26">
        <v>1</v>
      </c>
    </row>
    <row r="4" spans="3:14" x14ac:dyDescent="0.3">
      <c r="C4" s="54" t="s">
        <v>65</v>
      </c>
      <c r="D4" s="54" t="s">
        <v>28</v>
      </c>
      <c r="E4" s="55">
        <f>IFERROR('Stock Allocation Model'!S3,0)</f>
        <v>6.65558583106267E-2</v>
      </c>
      <c r="F4" s="56">
        <f t="shared" ref="F4:F19" si="1">$D$1*E4</f>
        <v>532446.86648501363</v>
      </c>
      <c r="G4" s="55">
        <f>IFERROR('Stock Allocation Model'!M3,0)</f>
        <v>0.19650000000000001</v>
      </c>
      <c r="H4" s="57">
        <f>IFERROR('Stock Allocation Model'!P3,0)</f>
        <v>1462</v>
      </c>
      <c r="I4" s="58">
        <f>IFERROR('Adjustment Factor'!D3,0)</f>
        <v>0.95</v>
      </c>
      <c r="J4" s="55">
        <f t="shared" ref="J4:J19" si="2">G4*I4</f>
        <v>0.18667500000000001</v>
      </c>
      <c r="K4" s="56">
        <f t="shared" si="0"/>
        <v>5749.124546714007</v>
      </c>
      <c r="L4" s="59">
        <f t="shared" ref="L4:L6" si="3">F4/H4</f>
        <v>364.19074314980412</v>
      </c>
      <c r="M4" s="56">
        <f t="shared" ref="M4:M6" si="4">L4*K4</f>
        <v>2093777.941128555</v>
      </c>
      <c r="N4" s="26">
        <v>0.9</v>
      </c>
    </row>
    <row r="5" spans="3:14" ht="28.8" x14ac:dyDescent="0.3">
      <c r="C5" s="54" t="s">
        <v>66</v>
      </c>
      <c r="D5" s="54" t="s">
        <v>67</v>
      </c>
      <c r="E5" s="55">
        <f>IFERROR('Stock Allocation Model'!S4,0)</f>
        <v>7.4452316076294281E-2</v>
      </c>
      <c r="F5" s="56">
        <f t="shared" si="1"/>
        <v>595618.52861035429</v>
      </c>
      <c r="G5" s="55">
        <f>IFERROR('Stock Allocation Model'!M4,0)</f>
        <v>0.1061</v>
      </c>
      <c r="H5" s="57">
        <f>IFERROR('Stock Allocation Model'!P4,0)</f>
        <v>3442</v>
      </c>
      <c r="I5" s="58">
        <f>IFERROR('Adjustment Factor'!D4,0)</f>
        <v>1</v>
      </c>
      <c r="J5" s="55">
        <f t="shared" si="2"/>
        <v>0.1061</v>
      </c>
      <c r="K5" s="56">
        <f t="shared" si="0"/>
        <v>7711.9819530902969</v>
      </c>
      <c r="L5" s="59">
        <f t="shared" si="3"/>
        <v>173.0443139483888</v>
      </c>
      <c r="M5" s="56">
        <f t="shared" si="4"/>
        <v>1334514.6262548659</v>
      </c>
      <c r="N5" s="26">
        <v>0.7</v>
      </c>
    </row>
    <row r="6" spans="3:14" x14ac:dyDescent="0.3">
      <c r="C6" s="54" t="s">
        <v>68</v>
      </c>
      <c r="D6" s="54" t="s">
        <v>67</v>
      </c>
      <c r="E6" s="55">
        <f>IFERROR('Stock Allocation Model'!S5,0)</f>
        <v>7.1068119891008183E-2</v>
      </c>
      <c r="F6" s="56">
        <f t="shared" si="1"/>
        <v>568544.9591280655</v>
      </c>
      <c r="G6" s="55">
        <f>IFERROR('Stock Allocation Model'!M5,0)</f>
        <v>0.1157</v>
      </c>
      <c r="H6" s="57">
        <f>IFERROR('Stock Allocation Model'!P5,0)</f>
        <v>1640</v>
      </c>
      <c r="I6" s="58">
        <f>IFERROR('Adjustment Factor'!D5,0)</f>
        <v>1.08</v>
      </c>
      <c r="J6" s="55">
        <f t="shared" si="2"/>
        <v>0.12495600000000001</v>
      </c>
      <c r="K6" s="56">
        <f t="shared" si="0"/>
        <v>4206.570182128773</v>
      </c>
      <c r="L6" s="59">
        <f t="shared" si="3"/>
        <v>346.6737555658936</v>
      </c>
      <c r="M6" s="56">
        <f t="shared" si="4"/>
        <v>1458307.4830900868</v>
      </c>
      <c r="N6" s="26">
        <v>0.8</v>
      </c>
    </row>
    <row r="7" spans="3:14" x14ac:dyDescent="0.3">
      <c r="C7" s="54" t="s">
        <v>69</v>
      </c>
      <c r="D7" s="54" t="s">
        <v>70</v>
      </c>
      <c r="E7" s="55">
        <f>IFERROR('Stock Allocation Model'!S6,0)</f>
        <v>2.8201634877384203E-2</v>
      </c>
      <c r="F7" s="56">
        <f t="shared" si="1"/>
        <v>225613.07901907363</v>
      </c>
      <c r="G7" s="55">
        <f>IFERROR('Stock Allocation Model'!M6,0)</f>
        <v>0.1197</v>
      </c>
      <c r="H7" s="57">
        <f>IFERROR('Stock Allocation Model'!P6,0)</f>
        <v>288</v>
      </c>
      <c r="I7" s="58">
        <f>IFERROR('Adjustment Factor'!D6,0)</f>
        <v>1.05</v>
      </c>
      <c r="J7" s="55">
        <f t="shared" si="2"/>
        <v>0.12568500000000002</v>
      </c>
      <c r="K7" s="56">
        <f t="shared" si="0"/>
        <v>742.55310805360614</v>
      </c>
      <c r="L7" s="59">
        <f t="shared" ref="L7:L19" si="5">F7/H7</f>
        <v>783.37874659400563</v>
      </c>
      <c r="M7" s="56">
        <f t="shared" ref="M7:M19" si="6">L7*K7</f>
        <v>581700.32306651725</v>
      </c>
      <c r="N7" s="26">
        <v>0.9</v>
      </c>
    </row>
    <row r="8" spans="3:14" x14ac:dyDescent="0.3">
      <c r="C8" s="54" t="s">
        <v>71</v>
      </c>
      <c r="D8" s="54" t="s">
        <v>72</v>
      </c>
      <c r="E8" s="55">
        <f>IFERROR('Stock Allocation Model'!S7,0)</f>
        <v>5.3019073569482295E-2</v>
      </c>
      <c r="F8" s="56">
        <f t="shared" si="1"/>
        <v>424152.58855585835</v>
      </c>
      <c r="G8" s="55">
        <f>IFERROR('Stock Allocation Model'!M7,0)</f>
        <v>0.19850000000000001</v>
      </c>
      <c r="H8" s="57">
        <f>IFERROR('Stock Allocation Model'!P7,0)</f>
        <v>1527</v>
      </c>
      <c r="I8" s="58">
        <f>IFERROR('Adjustment Factor'!D7,0)</f>
        <v>0.95</v>
      </c>
      <c r="J8" s="55">
        <f t="shared" si="2"/>
        <v>0.18857499999999999</v>
      </c>
      <c r="K8" s="56">
        <f t="shared" si="0"/>
        <v>6082.0749406103459</v>
      </c>
      <c r="L8" s="59">
        <f t="shared" si="5"/>
        <v>277.76855832079787</v>
      </c>
      <c r="M8" s="56">
        <f t="shared" si="6"/>
        <v>1689409.187852388</v>
      </c>
      <c r="N8" s="26">
        <v>1</v>
      </c>
    </row>
    <row r="9" spans="3:14" x14ac:dyDescent="0.3">
      <c r="C9" s="54" t="s">
        <v>43</v>
      </c>
      <c r="D9" s="54" t="s">
        <v>73</v>
      </c>
      <c r="E9" s="55">
        <f>IFERROR('Stock Allocation Model'!S8,0)</f>
        <v>6.2043596730245232E-2</v>
      </c>
      <c r="F9" s="56">
        <f t="shared" si="1"/>
        <v>496348.77384196187</v>
      </c>
      <c r="G9" s="55">
        <f>IFERROR('Stock Allocation Model'!M8,0)</f>
        <v>5.96E-2</v>
      </c>
      <c r="H9" s="57">
        <f>IFERROR('Stock Allocation Model'!P8,0)</f>
        <v>418</v>
      </c>
      <c r="I9" s="58">
        <f>IFERROR('Adjustment Factor'!D8,0)</f>
        <v>1.1499999999999899</v>
      </c>
      <c r="J9" s="55">
        <f t="shared" si="2"/>
        <v>6.8539999999999393E-2</v>
      </c>
      <c r="K9" s="56">
        <f t="shared" si="0"/>
        <v>710.39935120437212</v>
      </c>
      <c r="L9" s="59">
        <f t="shared" si="5"/>
        <v>1187.4372579951241</v>
      </c>
      <c r="M9" s="56">
        <f t="shared" si="6"/>
        <v>843554.65767563484</v>
      </c>
      <c r="N9" s="26">
        <v>0.6</v>
      </c>
    </row>
    <row r="10" spans="3:14" x14ac:dyDescent="0.3">
      <c r="C10" s="60" t="s">
        <v>74</v>
      </c>
      <c r="D10" s="60" t="s">
        <v>75</v>
      </c>
      <c r="E10" s="61">
        <f>IFERROR('Stock Allocation Model'!S9,0)</f>
        <v>0.10254545454545456</v>
      </c>
      <c r="F10" s="62">
        <f t="shared" si="1"/>
        <v>820363.63636363647</v>
      </c>
      <c r="G10" s="61">
        <f>IFERROR('Stock Allocation Model'!M9,0)</f>
        <v>0.32129999999999997</v>
      </c>
      <c r="H10" s="63">
        <f>IFERROR('Stock Allocation Model'!P9,0)</f>
        <v>6010</v>
      </c>
      <c r="I10" s="146">
        <f>IFERROR('Adjustment Factor'!D9,0)</f>
        <v>0.84</v>
      </c>
      <c r="J10" s="61">
        <f t="shared" si="2"/>
        <v>0.26989199999999997</v>
      </c>
      <c r="K10" s="62">
        <f t="shared" si="0"/>
        <v>40645.153688121027</v>
      </c>
      <c r="L10" s="64">
        <f t="shared" si="5"/>
        <v>136.49977310543036</v>
      </c>
      <c r="M10" s="62">
        <f t="shared" si="6"/>
        <v>5548054.2562638661</v>
      </c>
      <c r="N10" s="27">
        <v>0.9</v>
      </c>
    </row>
    <row r="11" spans="3:14" x14ac:dyDescent="0.3">
      <c r="C11" s="60" t="s">
        <v>76</v>
      </c>
      <c r="D11" s="60" t="s">
        <v>77</v>
      </c>
      <c r="E11" s="61">
        <f>IFERROR('Stock Allocation Model'!S10,0)</f>
        <v>9.4909090909090915E-2</v>
      </c>
      <c r="F11" s="62">
        <f t="shared" si="1"/>
        <v>759272.72727272729</v>
      </c>
      <c r="G11" s="61">
        <f>IFERROR('Stock Allocation Model'!M10,0)</f>
        <v>0.16650000000000001</v>
      </c>
      <c r="H11" s="63">
        <f>IFERROR('Stock Allocation Model'!P10,0)</f>
        <v>3337</v>
      </c>
      <c r="I11" s="146">
        <f>IFERROR('Adjustment Factor'!D10,0)</f>
        <v>1.08</v>
      </c>
      <c r="J11" s="61">
        <f t="shared" si="2"/>
        <v>0.17982000000000004</v>
      </c>
      <c r="K11" s="62">
        <f t="shared" si="0"/>
        <v>12528.014235225688</v>
      </c>
      <c r="L11" s="64">
        <f t="shared" si="5"/>
        <v>227.53153349497373</v>
      </c>
      <c r="M11" s="62">
        <f t="shared" si="6"/>
        <v>2850518.2905877614</v>
      </c>
      <c r="N11" s="27">
        <v>1.1000000000000001</v>
      </c>
    </row>
    <row r="12" spans="3:14" x14ac:dyDescent="0.3">
      <c r="C12" s="60" t="s">
        <v>78</v>
      </c>
      <c r="D12" s="60" t="s">
        <v>79</v>
      </c>
      <c r="E12" s="61">
        <f>IFERROR('Stock Allocation Model'!S11,0)</f>
        <v>7.8545454545454557E-2</v>
      </c>
      <c r="F12" s="62">
        <f t="shared" si="1"/>
        <v>628363.63636363647</v>
      </c>
      <c r="G12" s="61">
        <f>IFERROR('Stock Allocation Model'!M11,0)</f>
        <v>0.22120000000000001</v>
      </c>
      <c r="H12" s="63">
        <f>IFERROR('Stock Allocation Model'!P11,0)</f>
        <v>6345</v>
      </c>
      <c r="I12" s="146">
        <f>IFERROR('Adjustment Factor'!D11,0)</f>
        <v>0.9</v>
      </c>
      <c r="J12" s="61">
        <f t="shared" si="2"/>
        <v>0.19908000000000001</v>
      </c>
      <c r="K12" s="62">
        <f t="shared" si="0"/>
        <v>27115.455253233249</v>
      </c>
      <c r="L12" s="64">
        <f t="shared" si="5"/>
        <v>99.032882011605437</v>
      </c>
      <c r="M12" s="62">
        <f t="shared" si="6"/>
        <v>2685321.680784415</v>
      </c>
      <c r="N12" s="27">
        <v>0.9</v>
      </c>
    </row>
    <row r="13" spans="3:14" x14ac:dyDescent="0.3">
      <c r="C13" s="65" t="s">
        <v>103</v>
      </c>
      <c r="D13" s="65" t="s">
        <v>80</v>
      </c>
      <c r="E13" s="66">
        <f>IFERROR('Stock Allocation Model'!S12,0)</f>
        <v>4.3125000000000004E-2</v>
      </c>
      <c r="F13" s="67">
        <f t="shared" si="1"/>
        <v>345000</v>
      </c>
      <c r="G13" s="66">
        <f>IFERROR('Stock Allocation Model'!M12,0)</f>
        <v>0.1472</v>
      </c>
      <c r="H13" s="68">
        <f>IFERROR('Stock Allocation Model'!P12,0)</f>
        <v>2824</v>
      </c>
      <c r="I13" s="147">
        <f>IFERROR('Adjustment Factor'!D12,0)</f>
        <v>1.1499999999999899</v>
      </c>
      <c r="J13" s="66">
        <f t="shared" si="2"/>
        <v>0.16927999999999851</v>
      </c>
      <c r="K13" s="67">
        <f t="shared" si="0"/>
        <v>9867.6301454443928</v>
      </c>
      <c r="L13" s="69">
        <f t="shared" si="5"/>
        <v>122.1671388101983</v>
      </c>
      <c r="M13" s="67">
        <f t="shared" si="6"/>
        <v>1205500.1417062024</v>
      </c>
      <c r="N13" s="28">
        <v>1.1000000000000001</v>
      </c>
    </row>
    <row r="14" spans="3:14" x14ac:dyDescent="0.3">
      <c r="C14" s="65" t="s">
        <v>81</v>
      </c>
      <c r="D14" s="65" t="s">
        <v>82</v>
      </c>
      <c r="E14" s="66">
        <f>IFERROR('Stock Allocation Model'!S13,0)</f>
        <v>4.8875000000000002E-2</v>
      </c>
      <c r="F14" s="67">
        <f t="shared" si="1"/>
        <v>391000</v>
      </c>
      <c r="G14" s="66">
        <f>IFERROR('Stock Allocation Model'!M13,0)</f>
        <v>0.32240000000000002</v>
      </c>
      <c r="H14" s="68">
        <f>IFERROR('Stock Allocation Model'!P13,0)</f>
        <v>12120</v>
      </c>
      <c r="I14" s="147">
        <f>IFERROR('Adjustment Factor'!D13,0)</f>
        <v>0.8</v>
      </c>
      <c r="J14" s="66">
        <f t="shared" si="2"/>
        <v>0.25792000000000004</v>
      </c>
      <c r="K14" s="67">
        <f t="shared" si="0"/>
        <v>75984.812641468481</v>
      </c>
      <c r="L14" s="69">
        <f t="shared" si="5"/>
        <v>32.260726072607262</v>
      </c>
      <c r="M14" s="67">
        <f t="shared" si="6"/>
        <v>2451325.2263048002</v>
      </c>
      <c r="N14" s="28">
        <v>0.8</v>
      </c>
    </row>
    <row r="15" spans="3:14" x14ac:dyDescent="0.3">
      <c r="C15" s="65" t="s">
        <v>83</v>
      </c>
      <c r="D15" s="65" t="s">
        <v>84</v>
      </c>
      <c r="E15" s="66">
        <f>IFERROR('Stock Allocation Model'!S14,0)</f>
        <v>5.6925000000000003E-2</v>
      </c>
      <c r="F15" s="67">
        <f t="shared" si="1"/>
        <v>455400</v>
      </c>
      <c r="G15" s="66">
        <f>IFERROR('Stock Allocation Model'!M14,0)</f>
        <v>0.31630000000000003</v>
      </c>
      <c r="H15" s="68">
        <f>IFERROR('Stock Allocation Model'!P14,0)</f>
        <v>630</v>
      </c>
      <c r="I15" s="147">
        <f>IFERROR('Adjustment Factor'!D14,0)</f>
        <v>0.72</v>
      </c>
      <c r="J15" s="66">
        <f t="shared" si="2"/>
        <v>0.22773600000000002</v>
      </c>
      <c r="K15" s="67">
        <f t="shared" si="0"/>
        <v>3252.2241743046161</v>
      </c>
      <c r="L15" s="69">
        <f t="shared" si="5"/>
        <v>722.85714285714289</v>
      </c>
      <c r="M15" s="67">
        <f t="shared" si="6"/>
        <v>2350893.4745687656</v>
      </c>
      <c r="N15" s="28">
        <v>1.4</v>
      </c>
    </row>
    <row r="16" spans="3:14" x14ac:dyDescent="0.3">
      <c r="C16" s="65" t="s">
        <v>85</v>
      </c>
      <c r="D16" s="65" t="s">
        <v>86</v>
      </c>
      <c r="E16" s="66">
        <f>IFERROR('Stock Allocation Model'!S15,0)</f>
        <v>3.0475000000000002E-2</v>
      </c>
      <c r="F16" s="67">
        <f t="shared" si="1"/>
        <v>243800.00000000003</v>
      </c>
      <c r="G16" s="66">
        <f>IFERROR('Stock Allocation Model'!M15,0)</f>
        <v>0.1285</v>
      </c>
      <c r="H16" s="68">
        <f>IFERROR('Stock Allocation Model'!P15,0)</f>
        <v>860</v>
      </c>
      <c r="I16" s="147">
        <f>IFERROR('Adjustment Factor'!D15,0)</f>
        <v>1.05</v>
      </c>
      <c r="J16" s="66">
        <f t="shared" si="2"/>
        <v>0.13492500000000002</v>
      </c>
      <c r="K16" s="67">
        <f t="shared" si="0"/>
        <v>2367.2043646487696</v>
      </c>
      <c r="L16" s="69">
        <f t="shared" si="5"/>
        <v>283.48837209302332</v>
      </c>
      <c r="M16" s="67">
        <f t="shared" si="6"/>
        <v>671074.91174577922</v>
      </c>
      <c r="N16" s="28">
        <v>1</v>
      </c>
    </row>
    <row r="17" spans="3:14" x14ac:dyDescent="0.3">
      <c r="C17" s="65" t="s">
        <v>87</v>
      </c>
      <c r="D17" s="65" t="s">
        <v>88</v>
      </c>
      <c r="E17" s="66">
        <f>IFERROR('Stock Allocation Model'!S16,0)</f>
        <v>5.0599999999999999E-2</v>
      </c>
      <c r="F17" s="67">
        <f t="shared" si="1"/>
        <v>404800</v>
      </c>
      <c r="G17" s="66">
        <f>IFERROR('Stock Allocation Model'!M16,0)</f>
        <v>0.50919999999999999</v>
      </c>
      <c r="H17" s="68">
        <f>IFERROR('Stock Allocation Model'!P16,0)</f>
        <v>1658</v>
      </c>
      <c r="I17" s="147">
        <f>IFERROR('Adjustment Factor'!D16,0)</f>
        <v>0.7</v>
      </c>
      <c r="J17" s="66">
        <f t="shared" si="2"/>
        <v>0.35643999999999998</v>
      </c>
      <c r="K17" s="67">
        <f t="shared" si="0"/>
        <v>19001.558877735202</v>
      </c>
      <c r="L17" s="69">
        <f t="shared" si="5"/>
        <v>244.14957780458383</v>
      </c>
      <c r="M17" s="67">
        <f t="shared" si="6"/>
        <v>4639222.5776279913</v>
      </c>
      <c r="N17" s="28">
        <v>1.4</v>
      </c>
    </row>
    <row r="18" spans="3:14" x14ac:dyDescent="0.3">
      <c r="C18" s="70" t="s">
        <v>137</v>
      </c>
      <c r="D18" s="71" t="s">
        <v>89</v>
      </c>
      <c r="E18" s="72">
        <v>0.05</v>
      </c>
      <c r="F18" s="73">
        <f t="shared" si="1"/>
        <v>400000</v>
      </c>
      <c r="G18" s="72">
        <v>0.13869999999999999</v>
      </c>
      <c r="H18" s="74">
        <v>81</v>
      </c>
      <c r="I18" s="148">
        <f>IFERROR('Adjustment Factor'!D17,0)</f>
        <v>0.95</v>
      </c>
      <c r="J18" s="72">
        <f t="shared" si="2"/>
        <v>0.13176499999999999</v>
      </c>
      <c r="K18" s="73">
        <f t="shared" si="0"/>
        <v>218.03945728361754</v>
      </c>
      <c r="L18" s="75">
        <f t="shared" si="5"/>
        <v>4938.2716049382716</v>
      </c>
      <c r="M18" s="73">
        <f t="shared" si="6"/>
        <v>1076738.0606598398</v>
      </c>
      <c r="N18" s="70">
        <v>0.1</v>
      </c>
    </row>
    <row r="19" spans="3:14" ht="15" thickBot="1" x14ac:dyDescent="0.35">
      <c r="C19" s="70" t="s">
        <v>138</v>
      </c>
      <c r="D19" s="76" t="s">
        <v>91</v>
      </c>
      <c r="E19" s="72">
        <v>0.03</v>
      </c>
      <c r="F19" s="73">
        <f t="shared" si="1"/>
        <v>240000</v>
      </c>
      <c r="G19" s="72">
        <v>7.5600000000000001E-2</v>
      </c>
      <c r="H19" s="74">
        <v>1536</v>
      </c>
      <c r="I19" s="148">
        <f>IFERROR('Adjustment Factor'!D18,0)</f>
        <v>1</v>
      </c>
      <c r="J19" s="72">
        <f t="shared" si="2"/>
        <v>7.5600000000000001E-2</v>
      </c>
      <c r="K19" s="73">
        <f t="shared" si="0"/>
        <v>2751.677699006706</v>
      </c>
      <c r="L19" s="75">
        <f t="shared" si="5"/>
        <v>156.25</v>
      </c>
      <c r="M19" s="73">
        <f t="shared" si="6"/>
        <v>429949.64046979783</v>
      </c>
      <c r="N19" s="70">
        <v>0.48</v>
      </c>
    </row>
    <row r="20" spans="3:14" ht="15" thickBot="1" x14ac:dyDescent="0.35">
      <c r="C20" s="30" t="s">
        <v>131</v>
      </c>
      <c r="D20" s="31"/>
      <c r="E20" s="32">
        <f>SUM(E3:E19)</f>
        <v>1.0000000000000002</v>
      </c>
      <c r="F20" s="33">
        <f>SUM(F3:F19)</f>
        <v>8000000.0000000009</v>
      </c>
      <c r="G20" s="31"/>
      <c r="H20" s="31"/>
      <c r="I20" s="31"/>
      <c r="J20" s="31"/>
      <c r="K20" s="31"/>
      <c r="L20" s="31"/>
      <c r="M20" s="33">
        <f>SUM(M3:M19)</f>
        <v>33183518.709221873</v>
      </c>
      <c r="N20" s="31"/>
    </row>
    <row r="21" spans="3:14" ht="15" thickTop="1" x14ac:dyDescent="0.3"/>
    <row r="22" spans="3:14" x14ac:dyDescent="0.3">
      <c r="C22" s="38" t="s">
        <v>142</v>
      </c>
      <c r="D22" s="39">
        <v>0.06</v>
      </c>
      <c r="L22" s="26"/>
      <c r="M22" t="s">
        <v>125</v>
      </c>
    </row>
    <row r="23" spans="3:14" x14ac:dyDescent="0.3">
      <c r="C23" s="38" t="s">
        <v>143</v>
      </c>
      <c r="D23" s="40">
        <v>0.107</v>
      </c>
      <c r="L23" s="27"/>
      <c r="M23" t="s">
        <v>126</v>
      </c>
    </row>
    <row r="24" spans="3:14" x14ac:dyDescent="0.3">
      <c r="C24" s="38" t="s">
        <v>139</v>
      </c>
      <c r="D24" s="41">
        <f>M20</f>
        <v>33183518.709221873</v>
      </c>
      <c r="L24" s="28"/>
      <c r="M24" t="s">
        <v>127</v>
      </c>
    </row>
    <row r="25" spans="3:14" x14ac:dyDescent="0.3">
      <c r="C25" s="38" t="s">
        <v>140</v>
      </c>
      <c r="D25" s="42">
        <f>SUMPRODUCT(E3:E19,N3:N19)</f>
        <v>0.89748681136982922</v>
      </c>
    </row>
    <row r="26" spans="3:14" x14ac:dyDescent="0.3">
      <c r="C26" s="38" t="s">
        <v>141</v>
      </c>
      <c r="D26" s="43">
        <f>SUMPRODUCT(E3:E19,J3:J19)</f>
        <v>0.17905019489855697</v>
      </c>
    </row>
    <row r="27" spans="3:14" x14ac:dyDescent="0.3">
      <c r="C27" s="38" t="s">
        <v>144</v>
      </c>
      <c r="D27" s="44">
        <f>_xlfn.STDEV.P((J3:J19))</f>
        <v>7.2188945992551892E-2</v>
      </c>
    </row>
    <row r="28" spans="3:14" x14ac:dyDescent="0.3">
      <c r="C28" s="38" t="s">
        <v>145</v>
      </c>
      <c r="D28" s="42">
        <f>(D26-D22)/D27</f>
        <v>1.6491471548959864</v>
      </c>
    </row>
    <row r="29" spans="3:14" x14ac:dyDescent="0.3">
      <c r="C29" s="38" t="s">
        <v>146</v>
      </c>
      <c r="D29" s="42">
        <f>(D26-D22)/D25</f>
        <v>0.13264840596025174</v>
      </c>
    </row>
    <row r="30" spans="3:14" x14ac:dyDescent="0.3">
      <c r="C30" s="38" t="s">
        <v>147</v>
      </c>
      <c r="D30" s="44">
        <f>D26-(D22+(D23-D22)*D25)</f>
        <v>7.6868314764174994E-2</v>
      </c>
    </row>
    <row r="37" spans="3:5" ht="31.2" x14ac:dyDescent="0.3">
      <c r="C37" s="45" t="s">
        <v>118</v>
      </c>
    </row>
    <row r="39" spans="3:5" x14ac:dyDescent="0.3">
      <c r="C39" s="46" t="s">
        <v>154</v>
      </c>
    </row>
    <row r="40" spans="3:5" x14ac:dyDescent="0.3">
      <c r="C40" s="47" t="s">
        <v>167</v>
      </c>
    </row>
    <row r="41" spans="3:5" x14ac:dyDescent="0.3">
      <c r="C41" s="47" t="s">
        <v>168</v>
      </c>
    </row>
    <row r="42" spans="3:5" x14ac:dyDescent="0.3">
      <c r="C42" s="47" t="s">
        <v>155</v>
      </c>
    </row>
    <row r="43" spans="3:5" x14ac:dyDescent="0.3">
      <c r="C43" s="48" t="s">
        <v>169</v>
      </c>
    </row>
    <row r="44" spans="3:5" x14ac:dyDescent="0.3">
      <c r="C44" s="48" t="s">
        <v>170</v>
      </c>
    </row>
    <row r="45" spans="3:5" x14ac:dyDescent="0.3">
      <c r="C45" s="48" t="s">
        <v>171</v>
      </c>
    </row>
    <row r="46" spans="3:5" x14ac:dyDescent="0.3">
      <c r="C46" s="47" t="s">
        <v>172</v>
      </c>
    </row>
    <row r="47" spans="3:5" x14ac:dyDescent="0.3">
      <c r="C47" s="49" t="s">
        <v>93</v>
      </c>
    </row>
    <row r="48" spans="3:5" x14ac:dyDescent="0.3">
      <c r="C48" s="49" t="s">
        <v>157</v>
      </c>
      <c r="D48" s="49" t="s">
        <v>95</v>
      </c>
      <c r="E48" s="49" t="s">
        <v>156</v>
      </c>
    </row>
    <row r="49" spans="3:6" x14ac:dyDescent="0.3">
      <c r="C49" s="47" t="s">
        <v>160</v>
      </c>
      <c r="D49" s="49" t="s">
        <v>158</v>
      </c>
      <c r="F49" s="49" t="s">
        <v>159</v>
      </c>
    </row>
    <row r="50" spans="3:6" x14ac:dyDescent="0.3">
      <c r="C50" s="47" t="s">
        <v>173</v>
      </c>
    </row>
    <row r="51" spans="3:6" x14ac:dyDescent="0.3">
      <c r="C51" s="47" t="s">
        <v>174</v>
      </c>
    </row>
    <row r="52" spans="3:6" x14ac:dyDescent="0.3">
      <c r="C52" s="49" t="s">
        <v>161</v>
      </c>
    </row>
    <row r="53" spans="3:6" x14ac:dyDescent="0.3">
      <c r="C53" s="47" t="s">
        <v>165</v>
      </c>
      <c r="D53" s="49" t="s">
        <v>162</v>
      </c>
      <c r="E53" s="49" t="s">
        <v>163</v>
      </c>
      <c r="F53" s="49" t="s">
        <v>164</v>
      </c>
    </row>
    <row r="54" spans="3:6" x14ac:dyDescent="0.3">
      <c r="C54" s="47" t="s">
        <v>166</v>
      </c>
    </row>
    <row r="56" spans="3:6" x14ac:dyDescent="0.3">
      <c r="C56" s="46" t="s">
        <v>175</v>
      </c>
    </row>
    <row r="57" spans="3:6" x14ac:dyDescent="0.3">
      <c r="C57" s="46" t="s">
        <v>176</v>
      </c>
      <c r="D57" s="50"/>
    </row>
    <row r="58" spans="3:6" x14ac:dyDescent="0.3">
      <c r="C58" s="50" t="s">
        <v>188</v>
      </c>
      <c r="D58" s="50"/>
    </row>
    <row r="59" spans="3:6" x14ac:dyDescent="0.3">
      <c r="C59" s="51"/>
      <c r="D59" s="50"/>
    </row>
    <row r="60" spans="3:6" x14ac:dyDescent="0.3">
      <c r="C60" s="46" t="s">
        <v>177</v>
      </c>
      <c r="D60" s="50"/>
    </row>
    <row r="61" spans="3:6" x14ac:dyDescent="0.3">
      <c r="C61" s="50" t="s">
        <v>189</v>
      </c>
      <c r="D61" s="50"/>
    </row>
    <row r="62" spans="3:6" x14ac:dyDescent="0.3">
      <c r="C62" s="50"/>
      <c r="D62" s="50"/>
    </row>
    <row r="63" spans="3:6" x14ac:dyDescent="0.3">
      <c r="C63" s="46" t="s">
        <v>178</v>
      </c>
      <c r="D63" s="50"/>
    </row>
    <row r="64" spans="3:6" x14ac:dyDescent="0.3">
      <c r="C64" s="50" t="s">
        <v>190</v>
      </c>
      <c r="D64" s="50"/>
    </row>
    <row r="65" spans="3:4" x14ac:dyDescent="0.3">
      <c r="C65" s="50"/>
      <c r="D65" s="50"/>
    </row>
    <row r="66" spans="3:4" x14ac:dyDescent="0.3">
      <c r="C66" s="46" t="s">
        <v>179</v>
      </c>
      <c r="D66" s="50"/>
    </row>
    <row r="67" spans="3:4" x14ac:dyDescent="0.3">
      <c r="C67" s="50" t="s">
        <v>180</v>
      </c>
      <c r="D67" s="50"/>
    </row>
    <row r="68" spans="3:4" x14ac:dyDescent="0.3">
      <c r="C68" s="50"/>
      <c r="D68" s="50"/>
    </row>
    <row r="69" spans="3:4" x14ac:dyDescent="0.3">
      <c r="C69" s="46" t="s">
        <v>181</v>
      </c>
      <c r="D69" s="50"/>
    </row>
    <row r="70" spans="3:4" x14ac:dyDescent="0.3">
      <c r="C70" s="50" t="s">
        <v>182</v>
      </c>
      <c r="D70" s="50"/>
    </row>
    <row r="71" spans="3:4" x14ac:dyDescent="0.3">
      <c r="D71" s="50"/>
    </row>
    <row r="72" spans="3:4" x14ac:dyDescent="0.3">
      <c r="C72" s="46" t="s">
        <v>183</v>
      </c>
      <c r="D72" s="50"/>
    </row>
    <row r="73" spans="3:4" x14ac:dyDescent="0.3">
      <c r="C73" s="50" t="s">
        <v>191</v>
      </c>
      <c r="D73" s="50"/>
    </row>
    <row r="74" spans="3:4" x14ac:dyDescent="0.3">
      <c r="D74" s="50"/>
    </row>
    <row r="75" spans="3:4" x14ac:dyDescent="0.3">
      <c r="C75" s="46" t="s">
        <v>184</v>
      </c>
      <c r="D75" s="50"/>
    </row>
    <row r="76" spans="3:4" x14ac:dyDescent="0.3">
      <c r="C76" s="47" t="s">
        <v>192</v>
      </c>
      <c r="D76" s="50"/>
    </row>
    <row r="77" spans="3:4" x14ac:dyDescent="0.3">
      <c r="C77" s="47" t="s">
        <v>193</v>
      </c>
      <c r="D77" s="50"/>
    </row>
    <row r="78" spans="3:4" x14ac:dyDescent="0.3">
      <c r="C78" s="47" t="s">
        <v>185</v>
      </c>
      <c r="D78" s="50"/>
    </row>
    <row r="79" spans="3:4" x14ac:dyDescent="0.3">
      <c r="C79" s="47" t="s">
        <v>186</v>
      </c>
      <c r="D79" s="50"/>
    </row>
    <row r="80" spans="3:4" x14ac:dyDescent="0.3">
      <c r="C80" s="47" t="s">
        <v>187</v>
      </c>
      <c r="D80" s="50"/>
    </row>
    <row r="81" spans="3:4" x14ac:dyDescent="0.3">
      <c r="D81" s="50"/>
    </row>
    <row r="84" spans="3:4" x14ac:dyDescent="0.3">
      <c r="C84" s="50"/>
    </row>
    <row r="85" spans="3:4" x14ac:dyDescent="0.3">
      <c r="C85" s="50"/>
    </row>
    <row r="86" spans="3:4" x14ac:dyDescent="0.3">
      <c r="C86" s="50"/>
    </row>
    <row r="87" spans="3:4" x14ac:dyDescent="0.3">
      <c r="C87" s="50"/>
    </row>
    <row r="88" spans="3:4" x14ac:dyDescent="0.3">
      <c r="C88" s="50"/>
    </row>
    <row r="89" spans="3:4" x14ac:dyDescent="0.3">
      <c r="C89" s="50"/>
    </row>
    <row r="90" spans="3:4" x14ac:dyDescent="0.3">
      <c r="C90" s="50"/>
    </row>
    <row r="91" spans="3:4" x14ac:dyDescent="0.3">
      <c r="C91" s="50"/>
      <c r="D91" s="50"/>
    </row>
    <row r="92" spans="3:4" x14ac:dyDescent="0.3">
      <c r="C92" s="50"/>
    </row>
    <row r="93" spans="3:4" x14ac:dyDescent="0.3">
      <c r="C93" s="50"/>
    </row>
    <row r="94" spans="3:4" x14ac:dyDescent="0.3">
      <c r="C94" s="50"/>
    </row>
    <row r="95" spans="3:4" x14ac:dyDescent="0.3">
      <c r="C95" s="50"/>
    </row>
    <row r="96" spans="3:4" x14ac:dyDescent="0.3">
      <c r="C96" s="50"/>
    </row>
    <row r="97" spans="3:4" x14ac:dyDescent="0.3">
      <c r="C97" s="50"/>
    </row>
    <row r="98" spans="3:4" x14ac:dyDescent="0.3">
      <c r="C98" s="50"/>
    </row>
    <row r="99" spans="3:4" x14ac:dyDescent="0.3">
      <c r="C99" s="50"/>
    </row>
    <row r="100" spans="3:4" x14ac:dyDescent="0.3">
      <c r="C100" s="50"/>
    </row>
    <row r="101" spans="3:4" x14ac:dyDescent="0.3">
      <c r="C101" s="50"/>
    </row>
    <row r="102" spans="3:4" x14ac:dyDescent="0.3">
      <c r="C102" s="50"/>
    </row>
    <row r="103" spans="3:4" x14ac:dyDescent="0.3">
      <c r="D103" s="50"/>
    </row>
    <row r="104" spans="3:4" x14ac:dyDescent="0.3">
      <c r="D104" s="50"/>
    </row>
    <row r="105" spans="3:4" x14ac:dyDescent="0.3">
      <c r="D105" s="50"/>
    </row>
    <row r="106" spans="3:4" x14ac:dyDescent="0.3">
      <c r="D106" s="50"/>
    </row>
    <row r="107" spans="3:4" x14ac:dyDescent="0.3">
      <c r="D107" s="5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DF6B4-F68B-4FE3-99EA-1FCAC6DE9921}">
  <dimension ref="B1:M30"/>
  <sheetViews>
    <sheetView zoomScale="63" zoomScaleNormal="100" workbookViewId="0">
      <selection activeCell="E50" sqref="E50"/>
    </sheetView>
  </sheetViews>
  <sheetFormatPr defaultRowHeight="14.4" x14ac:dyDescent="0.3"/>
  <cols>
    <col min="1" max="1" width="1.88671875" customWidth="1"/>
    <col min="2" max="2" width="27" bestFit="1" customWidth="1"/>
    <col min="3" max="3" width="36.109375" bestFit="1" customWidth="1"/>
    <col min="4" max="4" width="12.21875" bestFit="1" customWidth="1"/>
    <col min="5" max="5" width="19.77734375" bestFit="1" customWidth="1"/>
    <col min="6" max="6" width="14.109375" bestFit="1" customWidth="1"/>
    <col min="7" max="7" width="11.5546875" bestFit="1" customWidth="1"/>
    <col min="8" max="8" width="16" bestFit="1" customWidth="1"/>
    <col min="9" max="9" width="17.5546875" bestFit="1" customWidth="1"/>
    <col min="10" max="10" width="19.5546875" bestFit="1" customWidth="1"/>
    <col min="11" max="11" width="15.21875" bestFit="1" customWidth="1"/>
    <col min="12" max="12" width="23.77734375" bestFit="1" customWidth="1"/>
    <col min="13" max="13" width="9" bestFit="1" customWidth="1"/>
  </cols>
  <sheetData>
    <row r="1" spans="2:13" x14ac:dyDescent="0.3">
      <c r="B1" s="84" t="s">
        <v>132</v>
      </c>
      <c r="C1" s="84">
        <v>8000000</v>
      </c>
      <c r="D1" s="84"/>
      <c r="E1" s="84" t="s">
        <v>133</v>
      </c>
      <c r="F1" s="84">
        <v>0.1835</v>
      </c>
      <c r="G1" s="84"/>
      <c r="H1" s="84"/>
      <c r="I1" s="84" t="s">
        <v>135</v>
      </c>
      <c r="J1" s="84">
        <v>8</v>
      </c>
      <c r="K1" s="84"/>
      <c r="L1" s="84" t="s">
        <v>134</v>
      </c>
      <c r="M1" s="84">
        <v>30800000</v>
      </c>
    </row>
    <row r="2" spans="2:13" x14ac:dyDescent="0.3">
      <c r="B2" s="85" t="s">
        <v>57</v>
      </c>
      <c r="C2" s="85" t="s">
        <v>17</v>
      </c>
      <c r="D2" s="85" t="s">
        <v>58</v>
      </c>
      <c r="E2" s="85" t="s">
        <v>59</v>
      </c>
      <c r="F2" s="85" t="s">
        <v>61</v>
      </c>
      <c r="G2" s="85" t="s">
        <v>60</v>
      </c>
      <c r="H2" s="85" t="s">
        <v>148</v>
      </c>
      <c r="I2" s="85" t="s">
        <v>56</v>
      </c>
      <c r="J2" s="85" t="s">
        <v>194</v>
      </c>
      <c r="K2" s="85" t="s">
        <v>63</v>
      </c>
      <c r="L2" s="85" t="s">
        <v>152</v>
      </c>
      <c r="M2" s="85" t="s">
        <v>153</v>
      </c>
    </row>
    <row r="3" spans="2:13" x14ac:dyDescent="0.3">
      <c r="B3" s="26" t="s">
        <v>64</v>
      </c>
      <c r="C3" s="26" t="s">
        <v>28</v>
      </c>
      <c r="D3" s="86">
        <f>IFERROR('Ideal Scenario (2025-2033)'!E3,0)</f>
        <v>5.8659400544959141E-2</v>
      </c>
      <c r="E3" s="56">
        <f>IFERROR('Ideal Scenario (2025-2033)'!F3,0)</f>
        <v>469275.20435967314</v>
      </c>
      <c r="F3" s="86">
        <f>IFERROR('Ideal Scenario (2025-2033)'!G3,0)</f>
        <v>0.12659999999999999</v>
      </c>
      <c r="G3" s="87">
        <f>IFERROR('Ideal Scenario (2025-2033)'!H3,0)</f>
        <v>1008</v>
      </c>
      <c r="H3" s="26">
        <f>IFERROR('Ideal Scenario (2025-2033)'!I3,0)</f>
        <v>1.05</v>
      </c>
      <c r="I3" s="86">
        <f>H3*F3</f>
        <v>0.13292999999999999</v>
      </c>
      <c r="J3" s="56">
        <f t="shared" ref="J3:J19" si="0">G3*(1+I3)^2.91</f>
        <v>1449.4107777530728</v>
      </c>
      <c r="K3" s="59">
        <v>465.5507979758662</v>
      </c>
      <c r="L3" s="56">
        <f>K3*J3</f>
        <v>674774.34417776391</v>
      </c>
      <c r="M3" s="26">
        <v>1</v>
      </c>
    </row>
    <row r="4" spans="2:13" x14ac:dyDescent="0.3">
      <c r="B4" s="26" t="s">
        <v>65</v>
      </c>
      <c r="C4" s="26" t="s">
        <v>28</v>
      </c>
      <c r="D4" s="86">
        <f>IFERROR('Ideal Scenario (2025-2033)'!E4,0)</f>
        <v>6.65558583106267E-2</v>
      </c>
      <c r="E4" s="56">
        <f>IFERROR('Ideal Scenario (2025-2033)'!F4,0)</f>
        <v>532446.86648501363</v>
      </c>
      <c r="F4" s="86">
        <f>IFERROR('Ideal Scenario (2025-2033)'!G4,0)</f>
        <v>0.19650000000000001</v>
      </c>
      <c r="G4" s="87">
        <f>IFERROR('Ideal Scenario (2025-2033)'!H4,0)</f>
        <v>1462</v>
      </c>
      <c r="H4" s="26">
        <f>IFERROR('Ideal Scenario (2025-2033)'!I4,0)</f>
        <v>0.95</v>
      </c>
      <c r="I4" s="86">
        <f t="shared" ref="I4:I19" si="1">H4*F4</f>
        <v>0.18667500000000001</v>
      </c>
      <c r="J4" s="56">
        <f t="shared" si="0"/>
        <v>2405.7632723779252</v>
      </c>
      <c r="K4" s="59">
        <v>364.19074314980412</v>
      </c>
      <c r="L4" s="56">
        <f t="shared" ref="L4:L19" si="2">K4*J4</f>
        <v>876156.71400982118</v>
      </c>
      <c r="M4" s="26">
        <v>0.9</v>
      </c>
    </row>
    <row r="5" spans="2:13" x14ac:dyDescent="0.3">
      <c r="B5" s="26" t="s">
        <v>66</v>
      </c>
      <c r="C5" s="26" t="s">
        <v>67</v>
      </c>
      <c r="D5" s="86">
        <f>IFERROR('Ideal Scenario (2025-2033)'!E5,0)</f>
        <v>7.4452316076294281E-2</v>
      </c>
      <c r="E5" s="56">
        <f>IFERROR('Ideal Scenario (2025-2033)'!F5,0)</f>
        <v>595618.52861035429</v>
      </c>
      <c r="F5" s="86">
        <f>IFERROR('Ideal Scenario (2025-2033)'!G5,0)</f>
        <v>0.1061</v>
      </c>
      <c r="G5" s="87">
        <f>IFERROR('Ideal Scenario (2025-2033)'!H5,0)</f>
        <v>3442</v>
      </c>
      <c r="H5" s="26">
        <f>IFERROR('Ideal Scenario (2025-2033)'!I5,0)</f>
        <v>1</v>
      </c>
      <c r="I5" s="86">
        <f t="shared" si="1"/>
        <v>0.1061</v>
      </c>
      <c r="J5" s="56">
        <f t="shared" si="0"/>
        <v>4615.8591449941196</v>
      </c>
      <c r="K5" s="59">
        <v>173.0443139483888</v>
      </c>
      <c r="L5" s="56">
        <f t="shared" si="2"/>
        <v>798748.17902790394</v>
      </c>
      <c r="M5" s="26">
        <v>0.7</v>
      </c>
    </row>
    <row r="6" spans="2:13" x14ac:dyDescent="0.3">
      <c r="B6" s="26" t="s">
        <v>68</v>
      </c>
      <c r="C6" s="26" t="s">
        <v>67</v>
      </c>
      <c r="D6" s="86">
        <f>IFERROR('Ideal Scenario (2025-2033)'!E6,0)</f>
        <v>7.1068119891008183E-2</v>
      </c>
      <c r="E6" s="56">
        <f>IFERROR('Ideal Scenario (2025-2033)'!F6,0)</f>
        <v>568544.9591280655</v>
      </c>
      <c r="F6" s="86">
        <f>IFERROR('Ideal Scenario (2025-2033)'!G6,0)</f>
        <v>0.1157</v>
      </c>
      <c r="G6" s="87">
        <f>IFERROR('Ideal Scenario (2025-2033)'!H6,0)</f>
        <v>1640</v>
      </c>
      <c r="H6" s="26">
        <f>IFERROR('Ideal Scenario (2025-2033)'!I6,0)</f>
        <v>1.08</v>
      </c>
      <c r="I6" s="86">
        <f t="shared" si="1"/>
        <v>0.12495600000000001</v>
      </c>
      <c r="J6" s="56">
        <f t="shared" si="0"/>
        <v>2310.1929750728923</v>
      </c>
      <c r="K6" s="59">
        <v>346.6737555658936</v>
      </c>
      <c r="L6" s="56">
        <f t="shared" si="2"/>
        <v>800883.27475046436</v>
      </c>
      <c r="M6" s="26">
        <v>0.8</v>
      </c>
    </row>
    <row r="7" spans="2:13" x14ac:dyDescent="0.3">
      <c r="B7" s="26" t="s">
        <v>69</v>
      </c>
      <c r="C7" s="26" t="s">
        <v>70</v>
      </c>
      <c r="D7" s="86">
        <f>IFERROR('Ideal Scenario (2025-2033)'!E7,0)</f>
        <v>2.8201634877384203E-2</v>
      </c>
      <c r="E7" s="56">
        <f>IFERROR('Ideal Scenario (2025-2033)'!F7,0)</f>
        <v>225613.07901907363</v>
      </c>
      <c r="F7" s="86">
        <f>IFERROR('Ideal Scenario (2025-2033)'!G7,0)</f>
        <v>0.1197</v>
      </c>
      <c r="G7" s="87">
        <f>IFERROR('Ideal Scenario (2025-2033)'!H7,0)</f>
        <v>288</v>
      </c>
      <c r="H7" s="26">
        <f>IFERROR('Ideal Scenario (2025-2033)'!I7,0)</f>
        <v>1.05</v>
      </c>
      <c r="I7" s="86">
        <f t="shared" si="1"/>
        <v>0.12568500000000002</v>
      </c>
      <c r="J7" s="56">
        <f t="shared" si="0"/>
        <v>406.45793445049395</v>
      </c>
      <c r="K7" s="59">
        <v>783.37874659400563</v>
      </c>
      <c r="L7" s="56">
        <f t="shared" si="2"/>
        <v>318410.50723301643</v>
      </c>
      <c r="M7" s="26">
        <v>0.9</v>
      </c>
    </row>
    <row r="8" spans="2:13" x14ac:dyDescent="0.3">
      <c r="B8" s="26" t="s">
        <v>71</v>
      </c>
      <c r="C8" s="26" t="s">
        <v>72</v>
      </c>
      <c r="D8" s="86">
        <f>IFERROR('Ideal Scenario (2025-2033)'!E8,0)</f>
        <v>5.3019073569482295E-2</v>
      </c>
      <c r="E8" s="56">
        <f>IFERROR('Ideal Scenario (2025-2033)'!F8,0)</f>
        <v>424152.58855585835</v>
      </c>
      <c r="F8" s="86">
        <f>IFERROR('Ideal Scenario (2025-2033)'!G8,0)</f>
        <v>0.19850000000000001</v>
      </c>
      <c r="G8" s="87">
        <f>IFERROR('Ideal Scenario (2025-2033)'!H8,0)</f>
        <v>1527</v>
      </c>
      <c r="H8" s="26">
        <f>IFERROR('Ideal Scenario (2025-2033)'!I8,0)</f>
        <v>0.95</v>
      </c>
      <c r="I8" s="86">
        <f t="shared" si="1"/>
        <v>0.18857499999999999</v>
      </c>
      <c r="J8" s="56">
        <f t="shared" si="0"/>
        <v>2524.4479319931606</v>
      </c>
      <c r="K8" s="59">
        <v>277.76855832079787</v>
      </c>
      <c r="L8" s="56">
        <f t="shared" si="2"/>
        <v>701212.26262565982</v>
      </c>
      <c r="M8" s="26">
        <v>1</v>
      </c>
    </row>
    <row r="9" spans="2:13" x14ac:dyDescent="0.3">
      <c r="B9" s="26" t="s">
        <v>43</v>
      </c>
      <c r="C9" s="26" t="s">
        <v>73</v>
      </c>
      <c r="D9" s="86">
        <f>IFERROR('Ideal Scenario (2025-2033)'!E9,0)</f>
        <v>6.2043596730245232E-2</v>
      </c>
      <c r="E9" s="56">
        <f>IFERROR('Ideal Scenario (2025-2033)'!F9,0)</f>
        <v>496348.77384196187</v>
      </c>
      <c r="F9" s="86">
        <f>IFERROR('Ideal Scenario (2025-2033)'!G9,0)</f>
        <v>5.96E-2</v>
      </c>
      <c r="G9" s="87">
        <f>IFERROR('Ideal Scenario (2025-2033)'!H9,0)</f>
        <v>418</v>
      </c>
      <c r="H9" s="26">
        <f>IFERROR('Ideal Scenario (2025-2033)'!I9,0)</f>
        <v>1.1499999999999899</v>
      </c>
      <c r="I9" s="86">
        <f t="shared" si="1"/>
        <v>6.8539999999999393E-2</v>
      </c>
      <c r="J9" s="56">
        <f t="shared" si="0"/>
        <v>506.94105472393397</v>
      </c>
      <c r="K9" s="59">
        <v>1187.4372579951241</v>
      </c>
      <c r="L9" s="56">
        <f t="shared" si="2"/>
        <v>601960.69598654436</v>
      </c>
      <c r="M9" s="26">
        <v>0.6</v>
      </c>
    </row>
    <row r="10" spans="2:13" x14ac:dyDescent="0.3">
      <c r="B10" s="27" t="s">
        <v>74</v>
      </c>
      <c r="C10" s="27" t="s">
        <v>75</v>
      </c>
      <c r="D10" s="88">
        <f>IFERROR('Ideal Scenario (2025-2033)'!E10,0)</f>
        <v>0.10254545454545456</v>
      </c>
      <c r="E10" s="62">
        <f>IFERROR('Ideal Scenario (2025-2033)'!F10,0)</f>
        <v>820363.63636363647</v>
      </c>
      <c r="F10" s="88">
        <f>IFERROR('Ideal Scenario (2025-2033)'!G10,0)</f>
        <v>0.32129999999999997</v>
      </c>
      <c r="G10" s="89">
        <f>IFERROR('Ideal Scenario (2025-2033)'!H10,0)</f>
        <v>6010</v>
      </c>
      <c r="H10" s="27">
        <v>0.95</v>
      </c>
      <c r="I10" s="88">
        <f t="shared" si="1"/>
        <v>0.30523499999999998</v>
      </c>
      <c r="J10" s="62">
        <f t="shared" si="0"/>
        <v>13047.539514125998</v>
      </c>
      <c r="K10" s="64">
        <v>136.49977310543036</v>
      </c>
      <c r="L10" s="62">
        <f t="shared" si="2"/>
        <v>1780986.1832623358</v>
      </c>
      <c r="M10" s="27">
        <v>0.9</v>
      </c>
    </row>
    <row r="11" spans="2:13" x14ac:dyDescent="0.3">
      <c r="B11" s="27" t="s">
        <v>76</v>
      </c>
      <c r="C11" s="27" t="s">
        <v>77</v>
      </c>
      <c r="D11" s="88">
        <f>IFERROR('Ideal Scenario (2025-2033)'!E11,0)</f>
        <v>9.4909090909090915E-2</v>
      </c>
      <c r="E11" s="62">
        <f>IFERROR('Ideal Scenario (2025-2033)'!F11,0)</f>
        <v>759272.72727272729</v>
      </c>
      <c r="F11" s="88">
        <f>IFERROR('Ideal Scenario (2025-2033)'!G11,0)</f>
        <v>0.16650000000000001</v>
      </c>
      <c r="G11" s="89">
        <f>IFERROR('Ideal Scenario (2025-2033)'!H11,0)</f>
        <v>3337</v>
      </c>
      <c r="H11" s="27">
        <f>IFERROR('Ideal Scenario (2025-2033)'!I11,0)</f>
        <v>1.08</v>
      </c>
      <c r="I11" s="88">
        <f t="shared" si="1"/>
        <v>0.17982000000000004</v>
      </c>
      <c r="J11" s="62">
        <f t="shared" si="0"/>
        <v>5399.3322233120907</v>
      </c>
      <c r="K11" s="64">
        <v>227.53153349497373</v>
      </c>
      <c r="L11" s="62">
        <f t="shared" si="2"/>
        <v>1228518.340619026</v>
      </c>
      <c r="M11" s="27">
        <v>1.1000000000000001</v>
      </c>
    </row>
    <row r="12" spans="2:13" x14ac:dyDescent="0.3">
      <c r="B12" s="27" t="s">
        <v>78</v>
      </c>
      <c r="C12" s="27" t="s">
        <v>79</v>
      </c>
      <c r="D12" s="88">
        <f>IFERROR('Ideal Scenario (2025-2033)'!E12,0)</f>
        <v>7.8545454545454557E-2</v>
      </c>
      <c r="E12" s="62">
        <f>IFERROR('Ideal Scenario (2025-2033)'!F12,0)</f>
        <v>628363.63636363647</v>
      </c>
      <c r="F12" s="88">
        <f>IFERROR('Ideal Scenario (2025-2033)'!G12,0)</f>
        <v>0.22120000000000001</v>
      </c>
      <c r="G12" s="89">
        <f>IFERROR('Ideal Scenario (2025-2033)'!H12,0)</f>
        <v>6345</v>
      </c>
      <c r="H12" s="27">
        <v>1</v>
      </c>
      <c r="I12" s="88">
        <f t="shared" si="1"/>
        <v>0.22120000000000001</v>
      </c>
      <c r="J12" s="62">
        <f t="shared" si="0"/>
        <v>11349.616881605043</v>
      </c>
      <c r="K12" s="64">
        <v>99.032882011605437</v>
      </c>
      <c r="L12" s="62">
        <f t="shared" si="2"/>
        <v>1123985.2695129174</v>
      </c>
      <c r="M12" s="27">
        <v>0.9</v>
      </c>
    </row>
    <row r="13" spans="2:13" x14ac:dyDescent="0.3">
      <c r="B13" s="28" t="s">
        <v>103</v>
      </c>
      <c r="C13" s="28" t="s">
        <v>80</v>
      </c>
      <c r="D13" s="90">
        <f>IFERROR('Ideal Scenario (2025-2033)'!E13,0)</f>
        <v>4.3125000000000004E-2</v>
      </c>
      <c r="E13" s="67">
        <f>IFERROR('Ideal Scenario (2025-2033)'!F13,0)</f>
        <v>345000</v>
      </c>
      <c r="F13" s="90">
        <f>IFERROR('Ideal Scenario (2025-2033)'!G13,0)</f>
        <v>0.1472</v>
      </c>
      <c r="G13" s="91">
        <f>IFERROR('Ideal Scenario (2025-2033)'!H13,0)</f>
        <v>2824</v>
      </c>
      <c r="H13" s="28">
        <v>1.25</v>
      </c>
      <c r="I13" s="90">
        <f t="shared" si="1"/>
        <v>0.184</v>
      </c>
      <c r="J13" s="67">
        <f t="shared" si="0"/>
        <v>4616.5564070698374</v>
      </c>
      <c r="K13" s="69">
        <v>122.1671388101983</v>
      </c>
      <c r="L13" s="67">
        <f t="shared" si="2"/>
        <v>563991.4874076111</v>
      </c>
      <c r="M13" s="28">
        <v>1.1000000000000001</v>
      </c>
    </row>
    <row r="14" spans="2:13" x14ac:dyDescent="0.3">
      <c r="B14" s="28" t="s">
        <v>81</v>
      </c>
      <c r="C14" s="28" t="s">
        <v>82</v>
      </c>
      <c r="D14" s="90">
        <f>IFERROR('Ideal Scenario (2025-2033)'!E14,0)</f>
        <v>4.8875000000000002E-2</v>
      </c>
      <c r="E14" s="67">
        <f>IFERROR('Ideal Scenario (2025-2033)'!F14,0)</f>
        <v>391000</v>
      </c>
      <c r="F14" s="90">
        <f>IFERROR('Ideal Scenario (2025-2033)'!G14,0)</f>
        <v>0.32240000000000002</v>
      </c>
      <c r="G14" s="91">
        <f>IFERROR('Ideal Scenario (2025-2033)'!H14,0)</f>
        <v>12120</v>
      </c>
      <c r="H14" s="28">
        <v>0.9</v>
      </c>
      <c r="I14" s="90">
        <f t="shared" si="1"/>
        <v>0.29016000000000003</v>
      </c>
      <c r="J14" s="67">
        <f t="shared" si="0"/>
        <v>25437.558016812505</v>
      </c>
      <c r="K14" s="69">
        <v>32.260726072607262</v>
      </c>
      <c r="L14" s="67">
        <f t="shared" si="2"/>
        <v>820634.09113644308</v>
      </c>
      <c r="M14" s="28">
        <v>0.8</v>
      </c>
    </row>
    <row r="15" spans="2:13" x14ac:dyDescent="0.3">
      <c r="B15" s="28" t="s">
        <v>83</v>
      </c>
      <c r="C15" s="28" t="s">
        <v>84</v>
      </c>
      <c r="D15" s="90">
        <f>IFERROR('Ideal Scenario (2025-2033)'!E15,0)</f>
        <v>5.6925000000000003E-2</v>
      </c>
      <c r="E15" s="67">
        <f>IFERROR('Ideal Scenario (2025-2033)'!F15,0)</f>
        <v>455400</v>
      </c>
      <c r="F15" s="90">
        <f>IFERROR('Ideal Scenario (2025-2033)'!G15,0)</f>
        <v>0.31630000000000003</v>
      </c>
      <c r="G15" s="91">
        <f>IFERROR('Ideal Scenario (2025-2033)'!H15,0)</f>
        <v>630</v>
      </c>
      <c r="H15" s="28">
        <v>0.9</v>
      </c>
      <c r="I15" s="90">
        <f t="shared" si="1"/>
        <v>0.28467000000000003</v>
      </c>
      <c r="J15" s="67">
        <f t="shared" si="0"/>
        <v>1305.9424965047021</v>
      </c>
      <c r="K15" s="69">
        <v>770.5583756345178</v>
      </c>
      <c r="L15" s="67">
        <f t="shared" si="2"/>
        <v>1006304.9287787502</v>
      </c>
      <c r="M15" s="28">
        <v>1.4</v>
      </c>
    </row>
    <row r="16" spans="2:13" x14ac:dyDescent="0.3">
      <c r="B16" s="28" t="s">
        <v>85</v>
      </c>
      <c r="C16" s="28" t="s">
        <v>86</v>
      </c>
      <c r="D16" s="90">
        <f>IFERROR('Ideal Scenario (2025-2033)'!E16,0)</f>
        <v>3.0475000000000002E-2</v>
      </c>
      <c r="E16" s="67">
        <f>IFERROR('Ideal Scenario (2025-2033)'!F16,0)</f>
        <v>243800.00000000003</v>
      </c>
      <c r="F16" s="90">
        <f>IFERROR('Ideal Scenario (2025-2033)'!G16,0)</f>
        <v>0.1285</v>
      </c>
      <c r="G16" s="91">
        <f>IFERROR('Ideal Scenario (2025-2033)'!H16,0)</f>
        <v>860</v>
      </c>
      <c r="H16" s="28">
        <f>IFERROR('Ideal Scenario (2025-2033)'!I16,0)</f>
        <v>1.05</v>
      </c>
      <c r="I16" s="90">
        <f t="shared" si="1"/>
        <v>0.13492500000000002</v>
      </c>
      <c r="J16" s="67">
        <f t="shared" si="0"/>
        <v>1242.947813554757</v>
      </c>
      <c r="K16" s="69">
        <v>283.48837209302332</v>
      </c>
      <c r="L16" s="67">
        <f t="shared" si="2"/>
        <v>352361.25226122071</v>
      </c>
      <c r="M16" s="28">
        <v>1</v>
      </c>
    </row>
    <row r="17" spans="2:13" x14ac:dyDescent="0.3">
      <c r="B17" s="28" t="s">
        <v>87</v>
      </c>
      <c r="C17" s="28" t="s">
        <v>88</v>
      </c>
      <c r="D17" s="90">
        <f>IFERROR('Ideal Scenario (2025-2033)'!E17,0)</f>
        <v>5.0599999999999999E-2</v>
      </c>
      <c r="E17" s="67">
        <f>IFERROR('Ideal Scenario (2025-2033)'!F17,0)</f>
        <v>404800</v>
      </c>
      <c r="F17" s="90">
        <f>IFERROR('Ideal Scenario (2025-2033)'!G17,0)</f>
        <v>0.50919999999999999</v>
      </c>
      <c r="G17" s="91">
        <f>IFERROR('Ideal Scenario (2025-2033)'!H17,0)</f>
        <v>1658</v>
      </c>
      <c r="H17" s="28">
        <v>0.9</v>
      </c>
      <c r="I17" s="90">
        <f t="shared" si="1"/>
        <v>0.45828000000000002</v>
      </c>
      <c r="J17" s="67">
        <f t="shared" si="0"/>
        <v>4970.0596623405627</v>
      </c>
      <c r="K17" s="69">
        <v>244.14957780458383</v>
      </c>
      <c r="L17" s="67">
        <f t="shared" si="2"/>
        <v>1213437.9682240409</v>
      </c>
      <c r="M17" s="28">
        <v>1.4</v>
      </c>
    </row>
    <row r="18" spans="2:13" x14ac:dyDescent="0.3">
      <c r="B18" s="70" t="s">
        <v>137</v>
      </c>
      <c r="C18" s="70" t="s">
        <v>89</v>
      </c>
      <c r="D18" s="92">
        <f>IFERROR('Ideal Scenario (2025-2033)'!E18,0)</f>
        <v>0.05</v>
      </c>
      <c r="E18" s="73">
        <f>IFERROR('Ideal Scenario (2025-2033)'!F18,0)</f>
        <v>400000</v>
      </c>
      <c r="F18" s="92">
        <f>IFERROR('Ideal Scenario (2025-2033)'!G18,0)</f>
        <v>0.13869999999999999</v>
      </c>
      <c r="G18" s="93">
        <f>IFERROR('Ideal Scenario (2025-2033)'!H18,0)</f>
        <v>81</v>
      </c>
      <c r="H18" s="70">
        <f>IFERROR('Ideal Scenario (2025-2033)'!I18,0)</f>
        <v>0.95</v>
      </c>
      <c r="I18" s="92">
        <f t="shared" si="1"/>
        <v>0.13176499999999999</v>
      </c>
      <c r="J18" s="73">
        <f t="shared" si="0"/>
        <v>116.12232778698744</v>
      </c>
      <c r="K18" s="75">
        <v>4938.2716049382716</v>
      </c>
      <c r="L18" s="73">
        <f t="shared" si="2"/>
        <v>573443.59400981455</v>
      </c>
      <c r="M18" s="70">
        <v>0.1</v>
      </c>
    </row>
    <row r="19" spans="2:13" ht="15" thickBot="1" x14ac:dyDescent="0.35">
      <c r="B19" s="70" t="s">
        <v>138</v>
      </c>
      <c r="C19" s="70" t="s">
        <v>91</v>
      </c>
      <c r="D19" s="92">
        <f>IFERROR('Ideal Scenario (2025-2033)'!E19,0)</f>
        <v>0.03</v>
      </c>
      <c r="E19" s="73">
        <f>IFERROR('Ideal Scenario (2025-2033)'!F19,0)</f>
        <v>240000</v>
      </c>
      <c r="F19" s="92">
        <f>IFERROR('Ideal Scenario (2025-2033)'!G19,0)</f>
        <v>7.5600000000000001E-2</v>
      </c>
      <c r="G19" s="93">
        <f>IFERROR('Ideal Scenario (2025-2033)'!H19,0)</f>
        <v>1536</v>
      </c>
      <c r="H19" s="70">
        <f>IFERROR('Ideal Scenario (2025-2033)'!I19,0)</f>
        <v>1</v>
      </c>
      <c r="I19" s="92">
        <f t="shared" si="1"/>
        <v>7.5600000000000001E-2</v>
      </c>
      <c r="J19" s="73">
        <f t="shared" si="0"/>
        <v>1898.8690894386691</v>
      </c>
      <c r="K19" s="75">
        <v>156.25</v>
      </c>
      <c r="L19" s="73">
        <f t="shared" si="2"/>
        <v>296698.29522479203</v>
      </c>
      <c r="M19" s="70">
        <v>0.48</v>
      </c>
    </row>
    <row r="20" spans="2:13" ht="15" thickBot="1" x14ac:dyDescent="0.35">
      <c r="B20" s="31" t="s">
        <v>131</v>
      </c>
      <c r="C20" s="31"/>
      <c r="D20" s="83">
        <f>SUM(D3:D19)</f>
        <v>1.0000000000000002</v>
      </c>
      <c r="E20" s="33">
        <f>SUM(E3:E19)</f>
        <v>8000000.0000000009</v>
      </c>
      <c r="F20" s="31"/>
      <c r="G20" s="31"/>
      <c r="H20" s="31"/>
      <c r="I20" s="31"/>
      <c r="J20" s="31"/>
      <c r="K20" s="31"/>
      <c r="L20" s="33">
        <f>SUM(L3:L19)</f>
        <v>13732507.388248127</v>
      </c>
      <c r="M20" s="31"/>
    </row>
    <row r="21" spans="2:13" ht="15" thickTop="1" x14ac:dyDescent="0.3"/>
    <row r="22" spans="2:13" x14ac:dyDescent="0.3">
      <c r="B22" s="38" t="s">
        <v>142</v>
      </c>
      <c r="C22" s="44">
        <v>0.06</v>
      </c>
    </row>
    <row r="23" spans="2:13" x14ac:dyDescent="0.3">
      <c r="B23" s="38" t="s">
        <v>143</v>
      </c>
      <c r="C23" s="44">
        <v>0.107</v>
      </c>
      <c r="K23" s="26"/>
      <c r="L23" t="s">
        <v>125</v>
      </c>
    </row>
    <row r="24" spans="2:13" x14ac:dyDescent="0.3">
      <c r="B24" s="38" t="s">
        <v>195</v>
      </c>
      <c r="C24" s="41">
        <f>L20</f>
        <v>13732507.388248127</v>
      </c>
      <c r="K24" s="27"/>
      <c r="L24" t="s">
        <v>126</v>
      </c>
    </row>
    <row r="25" spans="2:13" x14ac:dyDescent="0.3">
      <c r="B25" s="38" t="s">
        <v>140</v>
      </c>
      <c r="C25" s="42">
        <f>SUMPRODUCT(D3:D19,M3:M19)</f>
        <v>0.89748681136982922</v>
      </c>
      <c r="K25" s="28"/>
      <c r="L25" t="s">
        <v>127</v>
      </c>
    </row>
    <row r="26" spans="2:13" x14ac:dyDescent="0.3">
      <c r="B26" s="38" t="s">
        <v>141</v>
      </c>
      <c r="C26" s="44">
        <f>SUMPRODUCT(D3:D19,I3:I19)</f>
        <v>0.19501648630310253</v>
      </c>
    </row>
    <row r="27" spans="2:13" x14ac:dyDescent="0.3">
      <c r="B27" s="38" t="s">
        <v>144</v>
      </c>
      <c r="C27" s="44">
        <f>_xlfn.STDEV.P((I3:I19))</f>
        <v>9.6480887513455599E-2</v>
      </c>
    </row>
    <row r="28" spans="2:13" x14ac:dyDescent="0.3">
      <c r="B28" s="38" t="s">
        <v>145</v>
      </c>
      <c r="C28" s="42">
        <f>(C26-C22)/C27</f>
        <v>1.3994117361769978</v>
      </c>
    </row>
    <row r="29" spans="2:13" x14ac:dyDescent="0.3">
      <c r="B29" s="38" t="s">
        <v>146</v>
      </c>
      <c r="C29" s="42">
        <f>(C26-C22)/C25</f>
        <v>0.15043840710820877</v>
      </c>
    </row>
    <row r="30" spans="2:13" x14ac:dyDescent="0.3">
      <c r="B30" s="38" t="s">
        <v>147</v>
      </c>
      <c r="C30" s="44">
        <f>C26-(C22+(C23-C22)*C25)</f>
        <v>9.2834606168720551E-2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35B5-3380-413E-8513-39C0A5C09F45}">
  <dimension ref="B1:O70"/>
  <sheetViews>
    <sheetView topLeftCell="A6" zoomScale="85" workbookViewId="0">
      <selection activeCell="C63" sqref="C63"/>
    </sheetView>
  </sheetViews>
  <sheetFormatPr defaultRowHeight="14.4" x14ac:dyDescent="0.3"/>
  <cols>
    <col min="1" max="1" width="1.88671875" customWidth="1"/>
    <col min="2" max="2" width="27.5546875" bestFit="1" customWidth="1"/>
    <col min="3" max="3" width="38.21875" bestFit="1" customWidth="1"/>
    <col min="4" max="4" width="20.109375" bestFit="1" customWidth="1"/>
    <col min="5" max="5" width="20" bestFit="1" customWidth="1"/>
    <col min="6" max="6" width="20.5546875" bestFit="1" customWidth="1"/>
    <col min="7" max="7" width="14.6640625" bestFit="1" customWidth="1"/>
    <col min="8" max="8" width="22.33203125" bestFit="1" customWidth="1"/>
    <col min="9" max="9" width="16.5546875" bestFit="1" customWidth="1"/>
    <col min="10" max="10" width="18.21875" bestFit="1" customWidth="1"/>
    <col min="11" max="11" width="24.109375" bestFit="1" customWidth="1"/>
    <col min="12" max="12" width="15.6640625" bestFit="1" customWidth="1"/>
    <col min="13" max="13" width="24.88671875" bestFit="1" customWidth="1"/>
    <col min="14" max="14" width="9.33203125" bestFit="1" customWidth="1"/>
    <col min="15" max="15" width="75.77734375" bestFit="1" customWidth="1"/>
  </cols>
  <sheetData>
    <row r="1" spans="2:15" x14ac:dyDescent="0.3">
      <c r="B1" s="84" t="s">
        <v>132</v>
      </c>
      <c r="C1" s="94">
        <f>'Phase 1 (Jun 2025 - Apr 2028)'!C24</f>
        <v>13732507.388248127</v>
      </c>
      <c r="D1" s="84"/>
      <c r="E1" s="84"/>
      <c r="F1" s="84" t="s">
        <v>133</v>
      </c>
      <c r="G1" s="95">
        <v>0.1835</v>
      </c>
      <c r="H1" s="84"/>
      <c r="I1" s="84"/>
      <c r="J1" s="84" t="s">
        <v>135</v>
      </c>
      <c r="K1" s="84">
        <v>8</v>
      </c>
      <c r="L1" s="84"/>
      <c r="M1" s="84" t="s">
        <v>134</v>
      </c>
      <c r="N1" s="84">
        <v>30800000</v>
      </c>
    </row>
    <row r="2" spans="2:15" x14ac:dyDescent="0.3">
      <c r="B2" s="85" t="s">
        <v>57</v>
      </c>
      <c r="C2" s="85" t="s">
        <v>17</v>
      </c>
      <c r="D2" s="85" t="s">
        <v>197</v>
      </c>
      <c r="E2" s="85" t="s">
        <v>198</v>
      </c>
      <c r="F2" s="85" t="s">
        <v>59</v>
      </c>
      <c r="G2" s="85" t="s">
        <v>61</v>
      </c>
      <c r="H2" s="85" t="s">
        <v>199</v>
      </c>
      <c r="I2" s="85" t="s">
        <v>148</v>
      </c>
      <c r="J2" s="85" t="s">
        <v>56</v>
      </c>
      <c r="K2" s="85" t="s">
        <v>200</v>
      </c>
      <c r="L2" s="85" t="s">
        <v>63</v>
      </c>
      <c r="M2" s="85" t="s">
        <v>315</v>
      </c>
      <c r="N2" s="85" t="s">
        <v>153</v>
      </c>
      <c r="O2" t="s">
        <v>201</v>
      </c>
    </row>
    <row r="3" spans="2:15" x14ac:dyDescent="0.3">
      <c r="B3" s="26" t="s">
        <v>64</v>
      </c>
      <c r="C3" s="26" t="s">
        <v>28</v>
      </c>
      <c r="D3" s="55">
        <f>'Phase 1 (Jun 2025 - Apr 2028)'!D3</f>
        <v>5.8659400544959141E-2</v>
      </c>
      <c r="E3" s="55">
        <f>D3</f>
        <v>5.8659400544959141E-2</v>
      </c>
      <c r="F3" s="56">
        <f>$C$1*E3</f>
        <v>805540.65137385763</v>
      </c>
      <c r="G3" s="55">
        <v>0.12659999999999999</v>
      </c>
      <c r="H3" s="56">
        <f>'Phase 1 (Jun 2025 - Apr 2028)'!J3</f>
        <v>1449.4107777530728</v>
      </c>
      <c r="I3" s="96">
        <v>1.1000000000000001</v>
      </c>
      <c r="J3" s="86">
        <f>I3*G3</f>
        <v>0.13925999999999999</v>
      </c>
      <c r="K3" s="56">
        <f>H3*(1+J3)^2.67</f>
        <v>2052.9316682832537</v>
      </c>
      <c r="L3" s="59">
        <f>F3/H3</f>
        <v>555.77112005654794</v>
      </c>
      <c r="M3" s="56">
        <f>K3*L3</f>
        <v>1140960.1326813414</v>
      </c>
      <c r="N3" s="26">
        <v>1</v>
      </c>
      <c r="O3" t="s">
        <v>210</v>
      </c>
    </row>
    <row r="4" spans="2:15" x14ac:dyDescent="0.3">
      <c r="B4" s="26" t="s">
        <v>65</v>
      </c>
      <c r="C4" s="26" t="s">
        <v>28</v>
      </c>
      <c r="D4" s="55">
        <f>'Phase 1 (Jun 2025 - Apr 2028)'!D4</f>
        <v>6.65558583106267E-2</v>
      </c>
      <c r="E4" s="55">
        <f t="shared" ref="E4:E11" si="0">D4</f>
        <v>6.65558583106267E-2</v>
      </c>
      <c r="F4" s="56">
        <f t="shared" ref="F4:F18" si="1">$C$1*E4</f>
        <v>913978.81598187669</v>
      </c>
      <c r="G4" s="55">
        <v>0.19650000000000001</v>
      </c>
      <c r="H4" s="56">
        <f>'Phase 1 (Jun 2025 - Apr 2028)'!J4</f>
        <v>2405.7632723779252</v>
      </c>
      <c r="I4" s="96">
        <v>1.05</v>
      </c>
      <c r="J4" s="86">
        <f t="shared" ref="J4:J19" si="2">I4*G4</f>
        <v>0.20632500000000001</v>
      </c>
      <c r="K4" s="56">
        <f t="shared" ref="K4:K19" si="3">H4*(1+J4)^2.67</f>
        <v>3969.7453341911278</v>
      </c>
      <c r="L4" s="59">
        <f t="shared" ref="L4:L19" si="4">F4/H4</f>
        <v>379.91219937382863</v>
      </c>
      <c r="M4" s="56">
        <f t="shared" ref="M4:M19" si="5">K4*L4</f>
        <v>1508154.6808665458</v>
      </c>
      <c r="N4" s="26">
        <v>0.9</v>
      </c>
      <c r="O4" t="s">
        <v>210</v>
      </c>
    </row>
    <row r="5" spans="2:15" x14ac:dyDescent="0.3">
      <c r="B5" s="26" t="s">
        <v>66</v>
      </c>
      <c r="C5" s="26" t="s">
        <v>67</v>
      </c>
      <c r="D5" s="55">
        <f>'Phase 1 (Jun 2025 - Apr 2028)'!D5</f>
        <v>7.4452316076294281E-2</v>
      </c>
      <c r="E5" s="55">
        <f t="shared" si="0"/>
        <v>7.4452316076294281E-2</v>
      </c>
      <c r="F5" s="56">
        <f>$C$1*E5</f>
        <v>1022416.980589896</v>
      </c>
      <c r="G5" s="55">
        <v>0.1061</v>
      </c>
      <c r="H5" s="56">
        <f>'Phase 1 (Jun 2025 - Apr 2028)'!J5</f>
        <v>4615.8591449941196</v>
      </c>
      <c r="I5" s="96">
        <v>1</v>
      </c>
      <c r="J5" s="86">
        <f t="shared" si="2"/>
        <v>0.1061</v>
      </c>
      <c r="K5" s="56">
        <f t="shared" si="3"/>
        <v>6042.0397088332829</v>
      </c>
      <c r="L5" s="59">
        <f t="shared" si="4"/>
        <v>221.50090556786228</v>
      </c>
      <c r="M5" s="56">
        <f t="shared" si="5"/>
        <v>1338317.2669835552</v>
      </c>
      <c r="N5" s="26">
        <v>0.7</v>
      </c>
      <c r="O5" t="s">
        <v>210</v>
      </c>
    </row>
    <row r="6" spans="2:15" x14ac:dyDescent="0.3">
      <c r="B6" s="26" t="s">
        <v>68</v>
      </c>
      <c r="C6" s="26" t="s">
        <v>67</v>
      </c>
      <c r="D6" s="55">
        <f>'Phase 1 (Jun 2025 - Apr 2028)'!D6</f>
        <v>7.1068119891008183E-2</v>
      </c>
      <c r="E6" s="55">
        <f t="shared" si="0"/>
        <v>7.1068119891008183E-2</v>
      </c>
      <c r="F6" s="56">
        <f t="shared" si="1"/>
        <v>975943.48147217359</v>
      </c>
      <c r="G6" s="55">
        <v>0.1157</v>
      </c>
      <c r="H6" s="56">
        <f>'Phase 1 (Jun 2025 - Apr 2028)'!J6</f>
        <v>2310.1929750728923</v>
      </c>
      <c r="I6" s="96">
        <v>1.08</v>
      </c>
      <c r="J6" s="86">
        <f t="shared" si="2"/>
        <v>0.12495600000000001</v>
      </c>
      <c r="K6" s="56">
        <f t="shared" si="3"/>
        <v>3163.5896134996624</v>
      </c>
      <c r="L6" s="59">
        <f t="shared" si="4"/>
        <v>422.45106447931266</v>
      </c>
      <c r="M6" s="56">
        <f t="shared" si="5"/>
        <v>1336461.7997986297</v>
      </c>
      <c r="N6" s="26">
        <v>0.8</v>
      </c>
      <c r="O6" t="s">
        <v>210</v>
      </c>
    </row>
    <row r="7" spans="2:15" x14ac:dyDescent="0.3">
      <c r="B7" s="26" t="s">
        <v>69</v>
      </c>
      <c r="C7" s="26" t="s">
        <v>70</v>
      </c>
      <c r="D7" s="55">
        <f>'Phase 1 (Jun 2025 - Apr 2028)'!D7</f>
        <v>2.8201634877384203E-2</v>
      </c>
      <c r="E7" s="55">
        <f t="shared" si="0"/>
        <v>2.8201634877384203E-2</v>
      </c>
      <c r="F7" s="56">
        <f t="shared" si="1"/>
        <v>387279.15931435465</v>
      </c>
      <c r="G7" s="55">
        <v>0.1197</v>
      </c>
      <c r="H7" s="56">
        <f>'Phase 1 (Jun 2025 - Apr 2028)'!J7</f>
        <v>406.45793445049395</v>
      </c>
      <c r="I7" s="96">
        <v>1.2</v>
      </c>
      <c r="J7" s="86">
        <f t="shared" si="2"/>
        <v>0.14363999999999999</v>
      </c>
      <c r="K7" s="56">
        <f t="shared" si="3"/>
        <v>581.63178955752221</v>
      </c>
      <c r="L7" s="59">
        <f t="shared" si="4"/>
        <v>952.81485853617835</v>
      </c>
      <c r="M7" s="56">
        <f t="shared" si="5"/>
        <v>554187.41128739482</v>
      </c>
      <c r="N7" s="26">
        <v>0.9</v>
      </c>
      <c r="O7" s="78" t="s">
        <v>202</v>
      </c>
    </row>
    <row r="8" spans="2:15" x14ac:dyDescent="0.3">
      <c r="B8" s="26" t="s">
        <v>71</v>
      </c>
      <c r="C8" s="26" t="s">
        <v>72</v>
      </c>
      <c r="D8" s="55">
        <f>'Phase 1 (Jun 2025 - Apr 2028)'!D8</f>
        <v>5.3019073569482295E-2</v>
      </c>
      <c r="E8" s="55">
        <f t="shared" si="0"/>
        <v>5.3019073569482295E-2</v>
      </c>
      <c r="F8" s="56">
        <f t="shared" si="1"/>
        <v>728084.81951098656</v>
      </c>
      <c r="G8" s="55">
        <v>0.19850000000000001</v>
      </c>
      <c r="H8" s="56">
        <f>'Phase 1 (Jun 2025 - Apr 2028)'!J8</f>
        <v>2524.4479319931606</v>
      </c>
      <c r="I8" s="96">
        <v>1.1000000000000001</v>
      </c>
      <c r="J8" s="86">
        <f t="shared" si="2"/>
        <v>0.21835000000000002</v>
      </c>
      <c r="K8" s="56">
        <f t="shared" si="3"/>
        <v>4277.380036652643</v>
      </c>
      <c r="L8" s="59">
        <f t="shared" si="4"/>
        <v>288.41348252175362</v>
      </c>
      <c r="M8" s="56">
        <f t="shared" si="5"/>
        <v>1233654.0724400149</v>
      </c>
      <c r="N8" s="26">
        <v>1</v>
      </c>
      <c r="O8" s="78" t="s">
        <v>203</v>
      </c>
    </row>
    <row r="9" spans="2:15" x14ac:dyDescent="0.3">
      <c r="B9" s="27" t="s">
        <v>74</v>
      </c>
      <c r="C9" s="27" t="s">
        <v>75</v>
      </c>
      <c r="D9" s="61">
        <f>'Phase 1 (Jun 2025 - Apr 2028)'!D10</f>
        <v>0.10254545454545456</v>
      </c>
      <c r="E9" s="61">
        <f>D9+1%</f>
        <v>0.11254545454545456</v>
      </c>
      <c r="F9" s="62">
        <f t="shared" si="1"/>
        <v>1545531.2860591984</v>
      </c>
      <c r="G9" s="61">
        <v>0.32129999999999997</v>
      </c>
      <c r="H9" s="62">
        <f>'Phase 1 (Jun 2025 - Apr 2028)'!J10</f>
        <v>13047.539514125998</v>
      </c>
      <c r="I9" s="97">
        <v>0.95</v>
      </c>
      <c r="J9" s="88">
        <f t="shared" si="2"/>
        <v>0.30523499999999998</v>
      </c>
      <c r="K9" s="62">
        <f>H9*(1+J9)^2.67</f>
        <v>26571.586101563658</v>
      </c>
      <c r="L9" s="64">
        <f t="shared" si="4"/>
        <v>118.45384981481908</v>
      </c>
      <c r="M9" s="62">
        <f t="shared" si="5"/>
        <v>3147506.6694161557</v>
      </c>
      <c r="N9" s="27">
        <v>0.9</v>
      </c>
      <c r="O9" s="77" t="s">
        <v>210</v>
      </c>
    </row>
    <row r="10" spans="2:15" x14ac:dyDescent="0.3">
      <c r="B10" s="27" t="s">
        <v>76</v>
      </c>
      <c r="C10" s="27" t="s">
        <v>77</v>
      </c>
      <c r="D10" s="61">
        <f>'Phase 1 (Jun 2025 - Apr 2028)'!D11</f>
        <v>9.4909090909090915E-2</v>
      </c>
      <c r="E10" s="61">
        <f>D10+1%</f>
        <v>0.10490909090909091</v>
      </c>
      <c r="F10" s="62">
        <f t="shared" si="1"/>
        <v>1440664.8660034854</v>
      </c>
      <c r="G10" s="61">
        <v>0.16650000000000001</v>
      </c>
      <c r="H10" s="62">
        <f>'Phase 1 (Jun 2025 - Apr 2028)'!J11</f>
        <v>5399.3322233120907</v>
      </c>
      <c r="I10" s="97">
        <v>1.2</v>
      </c>
      <c r="J10" s="88">
        <f t="shared" si="2"/>
        <v>0.19980000000000001</v>
      </c>
      <c r="K10" s="62">
        <f t="shared" si="3"/>
        <v>8781.3381342673838</v>
      </c>
      <c r="L10" s="64">
        <f t="shared" si="4"/>
        <v>266.82278593328419</v>
      </c>
      <c r="M10" s="62">
        <f t="shared" si="5"/>
        <v>2343061.1052074116</v>
      </c>
      <c r="N10" s="27">
        <v>1.1000000000000001</v>
      </c>
      <c r="O10" s="78" t="s">
        <v>204</v>
      </c>
    </row>
    <row r="11" spans="2:15" x14ac:dyDescent="0.3">
      <c r="B11" s="27" t="s">
        <v>78</v>
      </c>
      <c r="C11" s="27" t="s">
        <v>79</v>
      </c>
      <c r="D11" s="61">
        <f>'Phase 1 (Jun 2025 - Apr 2028)'!D12</f>
        <v>7.8545454545454557E-2</v>
      </c>
      <c r="E11" s="61">
        <f t="shared" si="0"/>
        <v>7.8545454545454557E-2</v>
      </c>
      <c r="F11" s="62">
        <f t="shared" si="1"/>
        <v>1078626.0348587621</v>
      </c>
      <c r="G11" s="61">
        <v>0.22120000000000001</v>
      </c>
      <c r="H11" s="62">
        <f>'Phase 1 (Jun 2025 - Apr 2028)'!J12</f>
        <v>11349.616881605043</v>
      </c>
      <c r="I11" s="97">
        <v>1.1499999999999999</v>
      </c>
      <c r="J11" s="88">
        <f t="shared" si="2"/>
        <v>0.25438</v>
      </c>
      <c r="K11" s="62">
        <f t="shared" si="3"/>
        <v>20786.767315088415</v>
      </c>
      <c r="L11" s="64">
        <f t="shared" si="4"/>
        <v>95.036338769016197</v>
      </c>
      <c r="M11" s="62">
        <f t="shared" si="5"/>
        <v>1975498.2604694557</v>
      </c>
      <c r="N11" s="27">
        <v>0.9</v>
      </c>
      <c r="O11" s="78" t="s">
        <v>205</v>
      </c>
    </row>
    <row r="12" spans="2:15" ht="28.8" x14ac:dyDescent="0.3">
      <c r="B12" s="28" t="s">
        <v>50</v>
      </c>
      <c r="C12" s="22" t="s">
        <v>228</v>
      </c>
      <c r="D12" s="66">
        <v>0</v>
      </c>
      <c r="E12" s="98">
        <v>0.05</v>
      </c>
      <c r="F12" s="67">
        <f t="shared" si="1"/>
        <v>686625.36941240635</v>
      </c>
      <c r="G12" s="66">
        <v>8.0500000000000002E-2</v>
      </c>
      <c r="H12" s="67">
        <f>388.45*(1+G12)^2.91</f>
        <v>486.61244311210964</v>
      </c>
      <c r="I12" s="99">
        <v>2.2999999999999998</v>
      </c>
      <c r="J12" s="90">
        <f t="shared" si="2"/>
        <v>0.18514999999999998</v>
      </c>
      <c r="K12" s="67">
        <f t="shared" si="3"/>
        <v>765.87514701759221</v>
      </c>
      <c r="L12" s="69">
        <f t="shared" si="4"/>
        <v>1411.0312613897054</v>
      </c>
      <c r="M12" s="67">
        <f t="shared" si="5"/>
        <v>1080673.7747632591</v>
      </c>
      <c r="N12" s="28">
        <v>1.2</v>
      </c>
      <c r="O12" s="78" t="s">
        <v>207</v>
      </c>
    </row>
    <row r="13" spans="2:15" x14ac:dyDescent="0.3">
      <c r="B13" s="28" t="s">
        <v>103</v>
      </c>
      <c r="C13" s="28" t="s">
        <v>80</v>
      </c>
      <c r="D13" s="66">
        <v>4.3125000000000004E-2</v>
      </c>
      <c r="E13" s="66">
        <f>D13</f>
        <v>4.3125000000000004E-2</v>
      </c>
      <c r="F13" s="67">
        <f t="shared" si="1"/>
        <v>592214.38111820049</v>
      </c>
      <c r="G13" s="66">
        <v>0.1472</v>
      </c>
      <c r="H13" s="67">
        <f>'Phase 1 (Jun 2025 - Apr 2028)'!J13</f>
        <v>4616.5564070698374</v>
      </c>
      <c r="I13" s="99">
        <v>1.2</v>
      </c>
      <c r="J13" s="90">
        <f t="shared" si="2"/>
        <v>0.17663999999999999</v>
      </c>
      <c r="K13" s="67">
        <f t="shared" si="3"/>
        <v>7127.489401481952</v>
      </c>
      <c r="L13" s="69">
        <f t="shared" si="4"/>
        <v>128.28054699196957</v>
      </c>
      <c r="M13" s="67">
        <f t="shared" si="5"/>
        <v>914318.23910157057</v>
      </c>
      <c r="N13" s="28">
        <v>1.1000000000000001</v>
      </c>
      <c r="O13" t="s">
        <v>210</v>
      </c>
    </row>
    <row r="14" spans="2:15" x14ac:dyDescent="0.3">
      <c r="B14" s="28" t="s">
        <v>81</v>
      </c>
      <c r="C14" s="28" t="s">
        <v>82</v>
      </c>
      <c r="D14" s="66">
        <v>4.8875000000000002E-2</v>
      </c>
      <c r="E14" s="66">
        <f t="shared" ref="E14:E15" si="6">D14</f>
        <v>4.8875000000000002E-2</v>
      </c>
      <c r="F14" s="67">
        <f t="shared" si="1"/>
        <v>671176.29860062723</v>
      </c>
      <c r="G14" s="66">
        <v>0.32240000000000002</v>
      </c>
      <c r="H14" s="67">
        <f>'Phase 1 (Jun 2025 - Apr 2028)'!J14</f>
        <v>25437.558016812505</v>
      </c>
      <c r="I14" s="99">
        <v>0.8</v>
      </c>
      <c r="J14" s="90">
        <f t="shared" si="2"/>
        <v>0.25792000000000004</v>
      </c>
      <c r="K14" s="67">
        <f t="shared" si="3"/>
        <v>46940.637797718722</v>
      </c>
      <c r="L14" s="69">
        <f t="shared" si="4"/>
        <v>26.385248857497448</v>
      </c>
      <c r="M14" s="67">
        <f t="shared" si="5"/>
        <v>1238540.4098224593</v>
      </c>
      <c r="N14" s="28">
        <v>0.8</v>
      </c>
      <c r="O14" t="s">
        <v>210</v>
      </c>
    </row>
    <row r="15" spans="2:15" x14ac:dyDescent="0.3">
      <c r="B15" s="28" t="s">
        <v>83</v>
      </c>
      <c r="C15" s="28" t="s">
        <v>84</v>
      </c>
      <c r="D15" s="66">
        <v>5.6925000000000003E-2</v>
      </c>
      <c r="E15" s="66">
        <f t="shared" si="6"/>
        <v>5.6925000000000003E-2</v>
      </c>
      <c r="F15" s="67">
        <f t="shared" si="1"/>
        <v>781722.98307602468</v>
      </c>
      <c r="G15" s="66">
        <v>0.31630000000000003</v>
      </c>
      <c r="H15" s="67">
        <f>'Phase 1 (Jun 2025 - Apr 2028)'!J15</f>
        <v>1305.9424965047021</v>
      </c>
      <c r="I15" s="99">
        <v>1.1000000000000001</v>
      </c>
      <c r="J15" s="90">
        <f t="shared" si="2"/>
        <v>0.34793000000000007</v>
      </c>
      <c r="K15" s="67">
        <f t="shared" si="3"/>
        <v>2898.250037596029</v>
      </c>
      <c r="L15" s="69">
        <f t="shared" si="4"/>
        <v>598.58913020157627</v>
      </c>
      <c r="M15" s="67">
        <f t="shared" si="5"/>
        <v>1734860.9691112926</v>
      </c>
      <c r="N15" s="28">
        <v>1.4</v>
      </c>
      <c r="O15" t="s">
        <v>210</v>
      </c>
    </row>
    <row r="16" spans="2:15" ht="28.8" x14ac:dyDescent="0.3">
      <c r="B16" s="28" t="s">
        <v>196</v>
      </c>
      <c r="C16" s="22" t="s">
        <v>230</v>
      </c>
      <c r="D16" s="66">
        <v>0</v>
      </c>
      <c r="E16" s="66">
        <v>4.2500000000000003E-2</v>
      </c>
      <c r="F16" s="67">
        <f t="shared" si="1"/>
        <v>583631.56400054542</v>
      </c>
      <c r="G16" s="66">
        <v>1.5299999999999999E-2</v>
      </c>
      <c r="H16" s="67">
        <f>970*(1+G16)^2.91</f>
        <v>1013.8212689918687</v>
      </c>
      <c r="I16" s="99">
        <v>11.5</v>
      </c>
      <c r="J16" s="90">
        <f t="shared" si="2"/>
        <v>0.17595</v>
      </c>
      <c r="K16" s="67">
        <f t="shared" si="3"/>
        <v>1562.786477764213</v>
      </c>
      <c r="L16" s="69">
        <f t="shared" si="4"/>
        <v>575.67500490584644</v>
      </c>
      <c r="M16" s="67">
        <f t="shared" si="5"/>
        <v>899657.11325370381</v>
      </c>
      <c r="N16" s="28">
        <v>1.1000000000000001</v>
      </c>
      <c r="O16" s="78" t="s">
        <v>209</v>
      </c>
    </row>
    <row r="17" spans="2:15" x14ac:dyDescent="0.3">
      <c r="B17" s="28" t="s">
        <v>87</v>
      </c>
      <c r="C17" s="28" t="s">
        <v>88</v>
      </c>
      <c r="D17" s="66">
        <v>5.0599999999999999E-2</v>
      </c>
      <c r="E17" s="66">
        <f>D17</f>
        <v>5.0599999999999999E-2</v>
      </c>
      <c r="F17" s="67">
        <f t="shared" si="1"/>
        <v>694864.87384535524</v>
      </c>
      <c r="G17" s="66">
        <v>0.50919999999999999</v>
      </c>
      <c r="H17" s="67">
        <f>'Phase 1 (Jun 2025 - Apr 2028)'!J17</f>
        <v>4970.0596623405627</v>
      </c>
      <c r="I17" s="99">
        <v>0.9</v>
      </c>
      <c r="J17" s="90">
        <f t="shared" si="2"/>
        <v>0.45828000000000002</v>
      </c>
      <c r="K17" s="67">
        <f t="shared" si="3"/>
        <v>13608.706805435844</v>
      </c>
      <c r="L17" s="69">
        <f t="shared" si="4"/>
        <v>139.81016749366762</v>
      </c>
      <c r="M17" s="67">
        <f t="shared" si="5"/>
        <v>1902635.5778401997</v>
      </c>
      <c r="N17" s="28">
        <v>1.4</v>
      </c>
      <c r="O17" t="s">
        <v>210</v>
      </c>
    </row>
    <row r="18" spans="2:15" x14ac:dyDescent="0.3">
      <c r="B18" s="70" t="s">
        <v>137</v>
      </c>
      <c r="C18" s="70" t="s">
        <v>89</v>
      </c>
      <c r="D18" s="72">
        <v>0.05</v>
      </c>
      <c r="E18" s="72">
        <v>0.03</v>
      </c>
      <c r="F18" s="73">
        <f t="shared" si="1"/>
        <v>411975.22164744377</v>
      </c>
      <c r="G18" s="72">
        <v>0.13869999999999999</v>
      </c>
      <c r="H18" s="73">
        <f>'Phase 1 (Jun 2025 - Apr 2028)'!J18</f>
        <v>116.12232778698744</v>
      </c>
      <c r="I18" s="100">
        <v>1</v>
      </c>
      <c r="J18" s="92">
        <f t="shared" si="2"/>
        <v>0.13869999999999999</v>
      </c>
      <c r="K18" s="73">
        <f t="shared" si="3"/>
        <v>164.25878997707608</v>
      </c>
      <c r="L18" s="75">
        <f t="shared" si="4"/>
        <v>3547.7692317980673</v>
      </c>
      <c r="M18" s="73">
        <f t="shared" si="5"/>
        <v>582752.28113305126</v>
      </c>
      <c r="N18" s="70">
        <v>0.1</v>
      </c>
      <c r="O18" t="s">
        <v>210</v>
      </c>
    </row>
    <row r="19" spans="2:15" ht="15" thickBot="1" x14ac:dyDescent="0.35">
      <c r="B19" s="70" t="s">
        <v>138</v>
      </c>
      <c r="C19" s="70" t="s">
        <v>91</v>
      </c>
      <c r="D19" s="72">
        <v>0.03</v>
      </c>
      <c r="E19" s="72">
        <f t="shared" ref="E19" si="7">D19</f>
        <v>0.03</v>
      </c>
      <c r="F19" s="73">
        <f>$C$1*E19</f>
        <v>411975.22164744377</v>
      </c>
      <c r="G19" s="72">
        <v>7.5600000000000001E-2</v>
      </c>
      <c r="H19" s="73">
        <f>'Phase 1 (Jun 2025 - Apr 2028)'!J19</f>
        <v>1898.8690894386691</v>
      </c>
      <c r="I19" s="100">
        <v>1</v>
      </c>
      <c r="J19" s="92">
        <f t="shared" si="2"/>
        <v>7.5600000000000001E-2</v>
      </c>
      <c r="K19" s="73">
        <f t="shared" si="3"/>
        <v>2306.7612307882828</v>
      </c>
      <c r="L19" s="75">
        <f t="shared" si="4"/>
        <v>216.95820103598038</v>
      </c>
      <c r="M19" s="73">
        <f t="shared" si="5"/>
        <v>500470.76685136982</v>
      </c>
      <c r="N19" s="70">
        <v>0.48</v>
      </c>
      <c r="O19" t="s">
        <v>210</v>
      </c>
    </row>
    <row r="20" spans="2:15" ht="15" thickBot="1" x14ac:dyDescent="0.35">
      <c r="B20" s="101" t="s">
        <v>131</v>
      </c>
      <c r="C20" s="31"/>
      <c r="D20" s="31"/>
      <c r="E20" s="32">
        <f>SUM(E3:E19)</f>
        <v>0.99998140326975493</v>
      </c>
      <c r="F20" s="33">
        <f>SUM(F3:F19)</f>
        <v>13732252.008512637</v>
      </c>
      <c r="G20" s="31"/>
      <c r="H20" s="31"/>
      <c r="I20" s="31"/>
      <c r="J20" s="31"/>
      <c r="K20" s="31"/>
      <c r="L20" s="31"/>
      <c r="M20" s="33">
        <f>SUM(M3:M19)</f>
        <v>23431710.531027414</v>
      </c>
      <c r="N20" s="31"/>
    </row>
    <row r="21" spans="2:15" ht="15" thickTop="1" x14ac:dyDescent="0.3"/>
    <row r="23" spans="2:15" x14ac:dyDescent="0.3">
      <c r="B23" s="38" t="s">
        <v>142</v>
      </c>
      <c r="C23" s="44">
        <v>0.06</v>
      </c>
    </row>
    <row r="24" spans="2:15" x14ac:dyDescent="0.3">
      <c r="B24" s="38" t="s">
        <v>143</v>
      </c>
      <c r="C24" s="44">
        <v>0.107</v>
      </c>
    </row>
    <row r="25" spans="2:15" x14ac:dyDescent="0.3">
      <c r="B25" s="38" t="s">
        <v>195</v>
      </c>
      <c r="C25" s="41">
        <f>M20</f>
        <v>23431710.531027414</v>
      </c>
      <c r="L25" s="26"/>
      <c r="M25" t="s">
        <v>125</v>
      </c>
    </row>
    <row r="26" spans="2:15" x14ac:dyDescent="0.3">
      <c r="B26" s="38" t="s">
        <v>140</v>
      </c>
      <c r="C26" s="42">
        <f>SUMPRODUCT(E3:E19,N3:N19)</f>
        <v>0.954535653331682</v>
      </c>
      <c r="L26" s="27"/>
      <c r="M26" t="s">
        <v>126</v>
      </c>
    </row>
    <row r="27" spans="2:15" x14ac:dyDescent="0.3">
      <c r="B27" s="38" t="s">
        <v>141</v>
      </c>
      <c r="C27" s="44">
        <f>SUMPRODUCT(E3:E19,J3:J19)</f>
        <v>0.21598516101740156</v>
      </c>
      <c r="L27" s="28"/>
      <c r="M27" t="s">
        <v>127</v>
      </c>
    </row>
    <row r="28" spans="2:15" x14ac:dyDescent="0.3">
      <c r="B28" s="38" t="s">
        <v>144</v>
      </c>
      <c r="C28" s="44">
        <f>_xlfn.STDEV.P((J3:J19))</f>
        <v>9.3141205549966105E-2</v>
      </c>
    </row>
    <row r="29" spans="2:15" x14ac:dyDescent="0.3">
      <c r="B29" s="38" t="s">
        <v>145</v>
      </c>
      <c r="C29" s="42">
        <f>(C27-C23)/C28</f>
        <v>1.6747170073262845</v>
      </c>
    </row>
    <row r="30" spans="2:15" x14ac:dyDescent="0.3">
      <c r="B30" s="38" t="s">
        <v>146</v>
      </c>
      <c r="C30" s="42">
        <f>(C27-C23)/C26</f>
        <v>0.16341470375983938</v>
      </c>
    </row>
    <row r="31" spans="2:15" x14ac:dyDescent="0.3">
      <c r="B31" s="38" t="s">
        <v>147</v>
      </c>
      <c r="C31" s="44">
        <f>C27-(C23+(C24-C23)*C26)</f>
        <v>0.11112198531081251</v>
      </c>
    </row>
    <row r="35" spans="2:2" ht="18" x14ac:dyDescent="0.3">
      <c r="B35" s="139" t="s">
        <v>336</v>
      </c>
    </row>
    <row r="36" spans="2:2" x14ac:dyDescent="0.3">
      <c r="B36" s="8"/>
    </row>
    <row r="37" spans="2:2" ht="15.6" x14ac:dyDescent="0.3">
      <c r="B37" s="140" t="s">
        <v>316</v>
      </c>
    </row>
    <row r="38" spans="2:2" x14ac:dyDescent="0.3">
      <c r="B38" s="8"/>
    </row>
    <row r="39" spans="2:2" x14ac:dyDescent="0.3">
      <c r="B39" s="46" t="s">
        <v>317</v>
      </c>
    </row>
    <row r="40" spans="2:2" x14ac:dyDescent="0.3">
      <c r="B40" s="50"/>
    </row>
    <row r="41" spans="2:2" x14ac:dyDescent="0.3">
      <c r="B41" s="50" t="s">
        <v>318</v>
      </c>
    </row>
    <row r="42" spans="2:2" x14ac:dyDescent="0.3">
      <c r="B42" s="50"/>
    </row>
    <row r="43" spans="2:2" x14ac:dyDescent="0.3">
      <c r="B43" s="50" t="s">
        <v>319</v>
      </c>
    </row>
    <row r="44" spans="2:2" x14ac:dyDescent="0.3">
      <c r="B44" s="50"/>
    </row>
    <row r="45" spans="2:2" x14ac:dyDescent="0.3">
      <c r="B45" s="46" t="s">
        <v>320</v>
      </c>
    </row>
    <row r="46" spans="2:2" x14ac:dyDescent="0.3">
      <c r="B46" s="50"/>
    </row>
    <row r="47" spans="2:2" x14ac:dyDescent="0.3">
      <c r="B47" s="50" t="s">
        <v>321</v>
      </c>
    </row>
    <row r="48" spans="2:2" x14ac:dyDescent="0.3">
      <c r="B48" s="50"/>
    </row>
    <row r="49" spans="2:2" x14ac:dyDescent="0.3">
      <c r="B49" s="50" t="s">
        <v>322</v>
      </c>
    </row>
    <row r="50" spans="2:2" x14ac:dyDescent="0.3">
      <c r="B50" s="50"/>
    </row>
    <row r="51" spans="2:2" x14ac:dyDescent="0.3">
      <c r="B51" s="50" t="s">
        <v>323</v>
      </c>
    </row>
    <row r="52" spans="2:2" x14ac:dyDescent="0.3">
      <c r="B52" s="47"/>
    </row>
    <row r="53" spans="2:2" x14ac:dyDescent="0.3">
      <c r="B53" s="47" t="s">
        <v>324</v>
      </c>
    </row>
    <row r="54" spans="2:2" x14ac:dyDescent="0.3">
      <c r="B54" s="47" t="s">
        <v>325</v>
      </c>
    </row>
    <row r="55" spans="2:2" x14ac:dyDescent="0.3">
      <c r="B55" s="47" t="s">
        <v>326</v>
      </c>
    </row>
    <row r="56" spans="2:2" x14ac:dyDescent="0.3">
      <c r="B56" s="47" t="s">
        <v>327</v>
      </c>
    </row>
    <row r="57" spans="2:2" x14ac:dyDescent="0.3">
      <c r="B57" s="50"/>
    </row>
    <row r="58" spans="2:2" x14ac:dyDescent="0.3">
      <c r="B58" s="46" t="s">
        <v>328</v>
      </c>
    </row>
    <row r="59" spans="2:2" x14ac:dyDescent="0.3">
      <c r="B59" s="50"/>
    </row>
    <row r="60" spans="2:2" x14ac:dyDescent="0.3">
      <c r="B60" s="50" t="s">
        <v>329</v>
      </c>
    </row>
    <row r="61" spans="2:2" x14ac:dyDescent="0.3">
      <c r="B61" s="50"/>
    </row>
    <row r="62" spans="2:2" x14ac:dyDescent="0.3">
      <c r="B62" s="50" t="s">
        <v>330</v>
      </c>
    </row>
    <row r="63" spans="2:2" x14ac:dyDescent="0.3">
      <c r="B63" s="47"/>
    </row>
    <row r="64" spans="2:2" x14ac:dyDescent="0.3">
      <c r="B64" s="47" t="s">
        <v>331</v>
      </c>
    </row>
    <row r="65" spans="2:2" x14ac:dyDescent="0.3">
      <c r="B65" s="47" t="s">
        <v>332</v>
      </c>
    </row>
    <row r="66" spans="2:2" x14ac:dyDescent="0.3">
      <c r="B66" s="47" t="s">
        <v>333</v>
      </c>
    </row>
    <row r="67" spans="2:2" x14ac:dyDescent="0.3">
      <c r="B67" s="47" t="s">
        <v>334</v>
      </c>
    </row>
    <row r="68" spans="2:2" x14ac:dyDescent="0.3">
      <c r="B68" s="50"/>
    </row>
    <row r="69" spans="2:2" x14ac:dyDescent="0.3">
      <c r="B69" s="50" t="s">
        <v>335</v>
      </c>
    </row>
    <row r="70" spans="2:2" x14ac:dyDescent="0.3">
      <c r="B70" s="13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FD38-550D-4FED-869C-907096DD7EBA}">
  <dimension ref="B1:N79"/>
  <sheetViews>
    <sheetView zoomScale="71" workbookViewId="0">
      <selection activeCell="H50" sqref="H50"/>
    </sheetView>
  </sheetViews>
  <sheetFormatPr defaultRowHeight="14.4" x14ac:dyDescent="0.3"/>
  <cols>
    <col min="1" max="1" width="1.88671875" customWidth="1"/>
    <col min="2" max="2" width="36.44140625" bestFit="1" customWidth="1"/>
    <col min="3" max="3" width="38.44140625" bestFit="1" customWidth="1"/>
    <col min="4" max="4" width="21.6640625" bestFit="1" customWidth="1"/>
    <col min="5" max="5" width="24.88671875" customWidth="1"/>
    <col min="6" max="6" width="20.88671875" bestFit="1" customWidth="1"/>
    <col min="7" max="7" width="15" bestFit="1" customWidth="1"/>
    <col min="8" max="8" width="22.33203125" bestFit="1" customWidth="1"/>
    <col min="9" max="9" width="17.109375" bestFit="1" customWidth="1"/>
    <col min="10" max="10" width="18.5546875" bestFit="1" customWidth="1"/>
    <col min="11" max="11" width="25" bestFit="1" customWidth="1"/>
    <col min="12" max="12" width="16.77734375" bestFit="1" customWidth="1"/>
    <col min="13" max="13" width="25.77734375" bestFit="1" customWidth="1"/>
    <col min="14" max="14" width="17.33203125" customWidth="1"/>
    <col min="15" max="15" width="9.6640625" bestFit="1" customWidth="1"/>
    <col min="16" max="16" width="72.21875" bestFit="1" customWidth="1"/>
  </cols>
  <sheetData>
    <row r="1" spans="2:14" x14ac:dyDescent="0.3">
      <c r="B1" s="84" t="s">
        <v>132</v>
      </c>
      <c r="C1" s="94">
        <f>'Phase 2 (May 2028 - Dec 2030)'!M20</f>
        <v>23431710.531027414</v>
      </c>
      <c r="D1" s="84"/>
      <c r="E1" s="84"/>
      <c r="F1" s="84" t="s">
        <v>133</v>
      </c>
      <c r="G1" s="84">
        <v>0.1835</v>
      </c>
      <c r="H1" s="84"/>
      <c r="I1" s="84"/>
      <c r="J1" s="84" t="s">
        <v>135</v>
      </c>
      <c r="K1" s="84">
        <v>8</v>
      </c>
      <c r="L1" s="84"/>
      <c r="M1" s="84" t="s">
        <v>134</v>
      </c>
      <c r="N1" s="84"/>
    </row>
    <row r="2" spans="2:14" x14ac:dyDescent="0.3">
      <c r="B2" s="84" t="s">
        <v>232</v>
      </c>
      <c r="C2" s="94">
        <f>C1-5000000</f>
        <v>18431710.531027414</v>
      </c>
      <c r="D2" s="84"/>
      <c r="E2" s="84"/>
      <c r="F2" s="84"/>
      <c r="G2" s="84"/>
      <c r="H2" s="84"/>
      <c r="I2" s="84"/>
      <c r="J2" s="84"/>
      <c r="K2" s="84"/>
      <c r="L2" s="84"/>
      <c r="M2" s="84"/>
      <c r="N2" s="84">
        <v>30800000</v>
      </c>
    </row>
    <row r="3" spans="2:14" x14ac:dyDescent="0.3">
      <c r="B3" s="85" t="s">
        <v>57</v>
      </c>
      <c r="C3" s="85" t="s">
        <v>17</v>
      </c>
      <c r="D3" s="85" t="s">
        <v>197</v>
      </c>
      <c r="E3" s="85" t="s">
        <v>198</v>
      </c>
      <c r="F3" s="85" t="s">
        <v>59</v>
      </c>
      <c r="G3" s="85" t="s">
        <v>61</v>
      </c>
      <c r="H3" s="85" t="s">
        <v>233</v>
      </c>
      <c r="I3" s="85" t="s">
        <v>148</v>
      </c>
      <c r="J3" s="85" t="s">
        <v>56</v>
      </c>
      <c r="K3" s="85" t="s">
        <v>234</v>
      </c>
      <c r="L3" s="85" t="s">
        <v>63</v>
      </c>
      <c r="M3" s="85" t="s">
        <v>152</v>
      </c>
      <c r="N3" s="85" t="s">
        <v>153</v>
      </c>
    </row>
    <row r="4" spans="2:14" x14ac:dyDescent="0.3">
      <c r="B4" s="18" t="s">
        <v>64</v>
      </c>
      <c r="C4" s="18" t="s">
        <v>28</v>
      </c>
      <c r="D4" s="55">
        <f>'Phase 2 (May 2028 - Dec 2030)'!E3</f>
        <v>5.8659400544959141E-2</v>
      </c>
      <c r="E4" s="19">
        <v>0.105</v>
      </c>
      <c r="F4" s="56">
        <f>$C$2*E4</f>
        <v>1935329.6057578784</v>
      </c>
      <c r="G4" s="86">
        <v>0.12659999999999999</v>
      </c>
      <c r="H4" s="56">
        <f>'Phase 2 (May 2028 - Dec 2030)'!K3</f>
        <v>2052.9316682832537</v>
      </c>
      <c r="I4" s="96">
        <v>1.05</v>
      </c>
      <c r="J4" s="86">
        <f>I4*G4</f>
        <v>0.13292999999999999</v>
      </c>
      <c r="K4" s="56">
        <f>H4*(1+J4)^2.5</f>
        <v>2804.6726975359275</v>
      </c>
      <c r="L4" s="59">
        <f>F4/H4</f>
        <v>942.71506239478538</v>
      </c>
      <c r="M4" s="56">
        <f>L4*K4</f>
        <v>2644007.1970545328</v>
      </c>
      <c r="N4" s="26">
        <v>1</v>
      </c>
    </row>
    <row r="5" spans="2:14" x14ac:dyDescent="0.3">
      <c r="B5" s="18" t="s">
        <v>65</v>
      </c>
      <c r="C5" s="18" t="s">
        <v>28</v>
      </c>
      <c r="D5" s="55">
        <f>'Phase 2 (May 2028 - Dec 2030)'!E4</f>
        <v>6.65558583106267E-2</v>
      </c>
      <c r="E5" s="19">
        <v>9.5000000000000001E-2</v>
      </c>
      <c r="F5" s="56">
        <f t="shared" ref="F5:F20" si="0">$C$2*E5</f>
        <v>1751012.5004476043</v>
      </c>
      <c r="G5" s="86">
        <v>0.19650000000000001</v>
      </c>
      <c r="H5" s="56">
        <f>'Phase 2 (May 2028 - Dec 2030)'!K4</f>
        <v>3969.7453341911278</v>
      </c>
      <c r="I5" s="96">
        <v>1</v>
      </c>
      <c r="J5" s="86">
        <f t="shared" ref="J5:J20" si="1">I5*G5</f>
        <v>0.19650000000000001</v>
      </c>
      <c r="K5" s="56">
        <f t="shared" ref="K5:K20" si="2">H5*(1+J5)^2.5</f>
        <v>6216.4780470130718</v>
      </c>
      <c r="L5" s="59">
        <f t="shared" ref="L5:L20" si="3">F5/H5</f>
        <v>441.08937804303491</v>
      </c>
      <c r="M5" s="56">
        <f t="shared" ref="M5:M20" si="4">L5*K5</f>
        <v>2742022.4353751764</v>
      </c>
      <c r="N5" s="26">
        <v>0.9</v>
      </c>
    </row>
    <row r="6" spans="2:14" x14ac:dyDescent="0.3">
      <c r="B6" s="18" t="s">
        <v>66</v>
      </c>
      <c r="C6" s="18" t="s">
        <v>67</v>
      </c>
      <c r="D6" s="55">
        <f>'Phase 2 (May 2028 - Dec 2030)'!E5</f>
        <v>7.4452316076294281E-2</v>
      </c>
      <c r="E6" s="19">
        <v>7.0000000000000007E-2</v>
      </c>
      <c r="F6" s="56">
        <f t="shared" si="0"/>
        <v>1290219.7371719191</v>
      </c>
      <c r="G6" s="86">
        <v>0.1061</v>
      </c>
      <c r="H6" s="56">
        <f>'Phase 2 (May 2028 - Dec 2030)'!K5</f>
        <v>6042.0397088332829</v>
      </c>
      <c r="I6" s="96">
        <v>1</v>
      </c>
      <c r="J6" s="86">
        <f t="shared" si="1"/>
        <v>0.1061</v>
      </c>
      <c r="K6" s="56">
        <f t="shared" si="2"/>
        <v>7774.4478727452288</v>
      </c>
      <c r="L6" s="59">
        <f t="shared" si="3"/>
        <v>213.54042663533906</v>
      </c>
      <c r="M6" s="56">
        <f t="shared" si="4"/>
        <v>1660158.9156002204</v>
      </c>
      <c r="N6" s="26">
        <v>0.7</v>
      </c>
    </row>
    <row r="7" spans="2:14" x14ac:dyDescent="0.3">
      <c r="B7" s="18" t="s">
        <v>68</v>
      </c>
      <c r="C7" s="18" t="s">
        <v>67</v>
      </c>
      <c r="D7" s="55">
        <f>'Phase 2 (May 2028 - Dec 2030)'!E6</f>
        <v>7.1068119891008183E-2</v>
      </c>
      <c r="E7" s="19">
        <v>6.5000000000000002E-2</v>
      </c>
      <c r="F7" s="56">
        <f t="shared" si="0"/>
        <v>1198061.1845167819</v>
      </c>
      <c r="G7" s="86">
        <v>0.1157</v>
      </c>
      <c r="H7" s="56">
        <f>'Phase 2 (May 2028 - Dec 2030)'!K6</f>
        <v>3163.5896134996624</v>
      </c>
      <c r="I7" s="96">
        <v>1</v>
      </c>
      <c r="J7" s="86">
        <f t="shared" si="1"/>
        <v>0.1157</v>
      </c>
      <c r="K7" s="56">
        <f t="shared" si="2"/>
        <v>4159.5727433509446</v>
      </c>
      <c r="L7" s="59">
        <f t="shared" si="3"/>
        <v>378.70309707821076</v>
      </c>
      <c r="M7" s="56">
        <f t="shared" si="4"/>
        <v>1575243.0804291123</v>
      </c>
      <c r="N7" s="26">
        <v>0.8</v>
      </c>
    </row>
    <row r="8" spans="2:14" x14ac:dyDescent="0.3">
      <c r="B8" s="18" t="s">
        <v>69</v>
      </c>
      <c r="C8" s="18" t="s">
        <v>70</v>
      </c>
      <c r="D8" s="55">
        <f>'Phase 2 (May 2028 - Dec 2030)'!E7</f>
        <v>2.8201634877384203E-2</v>
      </c>
      <c r="E8" s="19">
        <v>5.5E-2</v>
      </c>
      <c r="F8" s="56">
        <f t="shared" si="0"/>
        <v>1013744.0792065078</v>
      </c>
      <c r="G8" s="86">
        <v>0.1197</v>
      </c>
      <c r="H8" s="56">
        <f>'Phase 2 (May 2028 - Dec 2030)'!K7</f>
        <v>581.63178955752221</v>
      </c>
      <c r="I8" s="96">
        <v>1.1499999999999999</v>
      </c>
      <c r="J8" s="86">
        <f t="shared" si="1"/>
        <v>0.137655</v>
      </c>
      <c r="K8" s="56">
        <f t="shared" si="2"/>
        <v>802.92426888191528</v>
      </c>
      <c r="L8" s="59">
        <f t="shared" si="3"/>
        <v>1742.9310044722899</v>
      </c>
      <c r="M8" s="56">
        <f t="shared" si="4"/>
        <v>1399441.6024775356</v>
      </c>
      <c r="N8" s="26">
        <v>0.9</v>
      </c>
    </row>
    <row r="9" spans="2:14" ht="28.8" x14ac:dyDescent="0.3">
      <c r="B9" s="18" t="s">
        <v>71</v>
      </c>
      <c r="C9" s="18" t="s">
        <v>222</v>
      </c>
      <c r="D9" s="55">
        <f>'Phase 2 (May 2028 - Dec 2030)'!E8</f>
        <v>5.3019073569482295E-2</v>
      </c>
      <c r="E9" s="19">
        <v>0.08</v>
      </c>
      <c r="F9" s="56">
        <f t="shared" si="0"/>
        <v>1474536.8424821931</v>
      </c>
      <c r="G9" s="86">
        <v>0.19850000000000001</v>
      </c>
      <c r="H9" s="56">
        <f>'Phase 2 (May 2028 - Dec 2030)'!K8</f>
        <v>4277.380036652643</v>
      </c>
      <c r="I9" s="96">
        <v>1.05</v>
      </c>
      <c r="J9" s="86">
        <f t="shared" si="1"/>
        <v>0.20842500000000003</v>
      </c>
      <c r="K9" s="56">
        <f t="shared" si="2"/>
        <v>6866.3682556304047</v>
      </c>
      <c r="L9" s="59">
        <f t="shared" si="3"/>
        <v>344.72897658074919</v>
      </c>
      <c r="M9" s="56">
        <f t="shared" si="4"/>
        <v>2367036.1015900136</v>
      </c>
      <c r="N9" s="26">
        <v>1</v>
      </c>
    </row>
    <row r="10" spans="2:14" x14ac:dyDescent="0.3">
      <c r="B10" s="18" t="s">
        <v>223</v>
      </c>
      <c r="C10" s="18" t="s">
        <v>224</v>
      </c>
      <c r="D10" s="102">
        <v>0</v>
      </c>
      <c r="E10" s="19">
        <v>9.5000000000000001E-2</v>
      </c>
      <c r="F10" s="56">
        <f t="shared" si="0"/>
        <v>1751012.5004476043</v>
      </c>
      <c r="G10" s="86">
        <v>0.13669999999999999</v>
      </c>
      <c r="H10" s="56">
        <f>3669*(1+G10)^5.58</f>
        <v>7499.8333027697481</v>
      </c>
      <c r="I10" s="96">
        <v>1.1499999999999999</v>
      </c>
      <c r="J10" s="86">
        <f t="shared" si="1"/>
        <v>0.15720499999999998</v>
      </c>
      <c r="K10" s="56">
        <f t="shared" si="2"/>
        <v>10803.820604089122</v>
      </c>
      <c r="L10" s="59">
        <f t="shared" si="3"/>
        <v>233.47352264495552</v>
      </c>
      <c r="M10" s="56">
        <f t="shared" si="4"/>
        <v>2522406.0544608384</v>
      </c>
      <c r="N10" s="26">
        <v>1.3</v>
      </c>
    </row>
    <row r="11" spans="2:14" x14ac:dyDescent="0.3">
      <c r="B11" s="18" t="s">
        <v>225</v>
      </c>
      <c r="C11" s="18" t="s">
        <v>73</v>
      </c>
      <c r="D11" s="102">
        <v>0</v>
      </c>
      <c r="E11" s="19">
        <v>0.05</v>
      </c>
      <c r="F11" s="56">
        <f t="shared" si="0"/>
        <v>921585.52655137074</v>
      </c>
      <c r="G11" s="86">
        <v>9.5699999999999993E-2</v>
      </c>
      <c r="H11" s="56">
        <f>2207*(1+G11)^5.58</f>
        <v>3675.2070011042561</v>
      </c>
      <c r="I11" s="96">
        <v>1</v>
      </c>
      <c r="J11" s="86">
        <f t="shared" si="1"/>
        <v>9.5699999999999993E-2</v>
      </c>
      <c r="K11" s="56">
        <f t="shared" si="2"/>
        <v>4618.606466575493</v>
      </c>
      <c r="L11" s="59">
        <f t="shared" si="3"/>
        <v>250.75744747832442</v>
      </c>
      <c r="M11" s="56">
        <f t="shared" si="4"/>
        <v>1158149.9684653538</v>
      </c>
      <c r="N11" s="26">
        <v>0.4</v>
      </c>
    </row>
    <row r="12" spans="2:14" x14ac:dyDescent="0.3">
      <c r="B12" s="18" t="s">
        <v>226</v>
      </c>
      <c r="C12" s="18" t="s">
        <v>227</v>
      </c>
      <c r="D12" s="102">
        <v>0</v>
      </c>
      <c r="E12" s="19">
        <v>0.06</v>
      </c>
      <c r="F12" s="56">
        <f t="shared" si="0"/>
        <v>1105902.6318616448</v>
      </c>
      <c r="G12" s="86">
        <v>7.3599999999999999E-2</v>
      </c>
      <c r="H12" s="56">
        <f>1687*(1+G12)^5.58</f>
        <v>2507.3574313211338</v>
      </c>
      <c r="I12" s="96">
        <v>1.05</v>
      </c>
      <c r="J12" s="86">
        <f t="shared" si="1"/>
        <v>7.7280000000000001E-2</v>
      </c>
      <c r="K12" s="56">
        <f t="shared" si="2"/>
        <v>3020.2141723647214</v>
      </c>
      <c r="L12" s="59">
        <f t="shared" si="3"/>
        <v>441.06301640406389</v>
      </c>
      <c r="M12" s="56">
        <f t="shared" si="4"/>
        <v>1332104.7730494873</v>
      </c>
      <c r="N12" s="26">
        <v>0.5</v>
      </c>
    </row>
    <row r="13" spans="2:14" x14ac:dyDescent="0.3">
      <c r="B13" s="14" t="s">
        <v>74</v>
      </c>
      <c r="C13" s="14" t="s">
        <v>75</v>
      </c>
      <c r="D13" s="61">
        <f>'Phase 2 (May 2028 - Dec 2030)'!E9</f>
        <v>0.11254545454545456</v>
      </c>
      <c r="E13" s="15">
        <v>5.5E-2</v>
      </c>
      <c r="F13" s="62">
        <f t="shared" si="0"/>
        <v>1013744.0792065078</v>
      </c>
      <c r="G13" s="88">
        <v>0.32129999999999997</v>
      </c>
      <c r="H13" s="62">
        <f>'Phase 2 (May 2028 - Dec 2030)'!K9</f>
        <v>26571.586101563658</v>
      </c>
      <c r="I13" s="97">
        <v>0.8</v>
      </c>
      <c r="J13" s="88">
        <f t="shared" si="1"/>
        <v>0.25703999999999999</v>
      </c>
      <c r="K13" s="62">
        <f t="shared" si="2"/>
        <v>47074.988508989998</v>
      </c>
      <c r="L13" s="64">
        <f t="shared" si="3"/>
        <v>38.151432712059744</v>
      </c>
      <c r="M13" s="62">
        <f t="shared" si="4"/>
        <v>1795978.2565217176</v>
      </c>
      <c r="N13" s="27">
        <v>0.9</v>
      </c>
    </row>
    <row r="14" spans="2:14" x14ac:dyDescent="0.3">
      <c r="B14" s="14" t="s">
        <v>76</v>
      </c>
      <c r="C14" s="14" t="s">
        <v>77</v>
      </c>
      <c r="D14" s="61">
        <f>'Phase 2 (May 2028 - Dec 2030)'!E10</f>
        <v>0.10490909090909091</v>
      </c>
      <c r="E14" s="15">
        <v>5.5E-2</v>
      </c>
      <c r="F14" s="62">
        <f t="shared" si="0"/>
        <v>1013744.0792065078</v>
      </c>
      <c r="G14" s="88">
        <v>0.16650000000000001</v>
      </c>
      <c r="H14" s="62">
        <f>'Phase 2 (May 2028 - Dec 2030)'!K10</f>
        <v>8781.3381342673838</v>
      </c>
      <c r="I14" s="97">
        <v>1.1000000000000001</v>
      </c>
      <c r="J14" s="88">
        <f t="shared" si="1"/>
        <v>0.18315000000000003</v>
      </c>
      <c r="K14" s="62">
        <f t="shared" si="2"/>
        <v>13370.887063541959</v>
      </c>
      <c r="L14" s="64">
        <f t="shared" si="3"/>
        <v>115.44300694339259</v>
      </c>
      <c r="M14" s="62">
        <f t="shared" si="4"/>
        <v>1543575.4081157926</v>
      </c>
      <c r="N14" s="27">
        <v>1.1000000000000001</v>
      </c>
    </row>
    <row r="15" spans="2:14" x14ac:dyDescent="0.3">
      <c r="B15" s="14" t="s">
        <v>78</v>
      </c>
      <c r="C15" s="14" t="s">
        <v>79</v>
      </c>
      <c r="D15" s="61">
        <f>'Phase 2 (May 2028 - Dec 2030)'!E11</f>
        <v>7.8545454545454557E-2</v>
      </c>
      <c r="E15" s="15">
        <v>0.04</v>
      </c>
      <c r="F15" s="62">
        <f t="shared" si="0"/>
        <v>737268.42124109657</v>
      </c>
      <c r="G15" s="88">
        <v>0.22120000000000001</v>
      </c>
      <c r="H15" s="62">
        <f>'Phase 2 (May 2028 - Dec 2030)'!K11</f>
        <v>20786.767315088415</v>
      </c>
      <c r="I15" s="97">
        <v>0.9</v>
      </c>
      <c r="J15" s="88">
        <f t="shared" si="1"/>
        <v>0.19908000000000001</v>
      </c>
      <c r="K15" s="62">
        <f t="shared" si="2"/>
        <v>32727.08713302172</v>
      </c>
      <c r="L15" s="64">
        <f t="shared" si="3"/>
        <v>35.468161550350267</v>
      </c>
      <c r="M15" s="62">
        <f t="shared" si="4"/>
        <v>1160769.613506404</v>
      </c>
      <c r="N15" s="27">
        <v>0.9</v>
      </c>
    </row>
    <row r="16" spans="2:14" x14ac:dyDescent="0.3">
      <c r="B16" s="22" t="s">
        <v>206</v>
      </c>
      <c r="C16" s="22" t="s">
        <v>228</v>
      </c>
      <c r="D16" s="66">
        <f>'Phase 2 (May 2028 - Dec 2030)'!E12</f>
        <v>0.05</v>
      </c>
      <c r="E16" s="23">
        <v>3.5000000000000003E-2</v>
      </c>
      <c r="F16" s="67">
        <f t="shared" si="0"/>
        <v>645109.86858595954</v>
      </c>
      <c r="G16" s="90">
        <v>8.0500000000000002E-2</v>
      </c>
      <c r="H16" s="67">
        <f>'Phase 2 (May 2028 - Dec 2030)'!K12</f>
        <v>765.87514701759221</v>
      </c>
      <c r="I16" s="99">
        <v>2</v>
      </c>
      <c r="J16" s="90">
        <f t="shared" si="1"/>
        <v>0.161</v>
      </c>
      <c r="K16" s="67">
        <f t="shared" si="2"/>
        <v>1112.3424875542262</v>
      </c>
      <c r="L16" s="69">
        <f t="shared" si="3"/>
        <v>842.31727729786394</v>
      </c>
      <c r="M16" s="67">
        <f t="shared" si="4"/>
        <v>936945.29553940892</v>
      </c>
      <c r="N16" s="28">
        <v>1.2</v>
      </c>
    </row>
    <row r="17" spans="2:14" x14ac:dyDescent="0.3">
      <c r="B17" s="22" t="s">
        <v>103</v>
      </c>
      <c r="C17" s="22" t="s">
        <v>229</v>
      </c>
      <c r="D17" s="66">
        <f>'Phase 2 (May 2028 - Dec 2030)'!E13</f>
        <v>4.3125000000000004E-2</v>
      </c>
      <c r="E17" s="23">
        <v>2.5000000000000001E-2</v>
      </c>
      <c r="F17" s="67">
        <f t="shared" si="0"/>
        <v>460792.76327568537</v>
      </c>
      <c r="G17" s="90">
        <v>0.1472</v>
      </c>
      <c r="H17" s="67">
        <f>'Phase 2 (May 2028 - Dec 2030)'!K13</f>
        <v>7127.489401481952</v>
      </c>
      <c r="I17" s="99">
        <v>1.1499999999999999</v>
      </c>
      <c r="J17" s="90">
        <f t="shared" si="1"/>
        <v>0.16927999999999999</v>
      </c>
      <c r="K17" s="67">
        <f t="shared" si="2"/>
        <v>10537.385862682482</v>
      </c>
      <c r="L17" s="69">
        <f t="shared" si="3"/>
        <v>64.650080458888795</v>
      </c>
      <c r="M17" s="67">
        <f t="shared" si="4"/>
        <v>681242.8438487798</v>
      </c>
      <c r="N17" s="28">
        <v>1.1000000000000001</v>
      </c>
    </row>
    <row r="18" spans="2:14" x14ac:dyDescent="0.3">
      <c r="B18" s="22" t="s">
        <v>208</v>
      </c>
      <c r="C18" s="22" t="s">
        <v>230</v>
      </c>
      <c r="D18" s="66">
        <f>'Phase 2 (May 2028 - Dec 2030)'!E16</f>
        <v>4.2500000000000003E-2</v>
      </c>
      <c r="E18" s="23">
        <v>2.5000000000000001E-2</v>
      </c>
      <c r="F18" s="67">
        <f t="shared" si="0"/>
        <v>460792.76327568537</v>
      </c>
      <c r="G18" s="90">
        <v>1.5299999999999999E-2</v>
      </c>
      <c r="H18" s="67">
        <f>'Phase 2 (May 2028 - Dec 2030)'!K16</f>
        <v>1562.786477764213</v>
      </c>
      <c r="I18" s="99">
        <v>10</v>
      </c>
      <c r="J18" s="90">
        <f t="shared" si="1"/>
        <v>0.153</v>
      </c>
      <c r="K18" s="67">
        <f t="shared" si="2"/>
        <v>2230.8630639917878</v>
      </c>
      <c r="L18" s="69">
        <f t="shared" si="3"/>
        <v>294.85330838984129</v>
      </c>
      <c r="M18" s="67">
        <f t="shared" si="4"/>
        <v>657777.35498267692</v>
      </c>
      <c r="N18" s="28">
        <v>1.1000000000000001</v>
      </c>
    </row>
    <row r="19" spans="2:14" x14ac:dyDescent="0.3">
      <c r="B19" s="103" t="s">
        <v>137</v>
      </c>
      <c r="C19" s="103" t="s">
        <v>231</v>
      </c>
      <c r="D19" s="72">
        <f>'Phase 2 (May 2028 - Dec 2030)'!E18</f>
        <v>0.03</v>
      </c>
      <c r="E19" s="104">
        <v>0.06</v>
      </c>
      <c r="F19" s="73">
        <f t="shared" si="0"/>
        <v>1105902.6318616448</v>
      </c>
      <c r="G19" s="92">
        <v>0.13869999999999999</v>
      </c>
      <c r="H19" s="73">
        <f>'Phase 2 (May 2028 - Dec 2030)'!K18</f>
        <v>164.25878997707608</v>
      </c>
      <c r="I19" s="100">
        <v>1</v>
      </c>
      <c r="J19" s="92">
        <f t="shared" si="1"/>
        <v>0.13869999999999999</v>
      </c>
      <c r="K19" s="73">
        <f t="shared" si="2"/>
        <v>227.27513314980234</v>
      </c>
      <c r="L19" s="75">
        <f t="shared" si="3"/>
        <v>6732.6846375526347</v>
      </c>
      <c r="M19" s="73">
        <f t="shared" si="4"/>
        <v>1530171.7974554037</v>
      </c>
      <c r="N19" s="70">
        <v>0.1</v>
      </c>
    </row>
    <row r="20" spans="2:14" ht="15" thickBot="1" x14ac:dyDescent="0.35">
      <c r="B20" s="103" t="s">
        <v>138</v>
      </c>
      <c r="C20" s="103" t="s">
        <v>91</v>
      </c>
      <c r="D20" s="72">
        <f>'Phase 2 (May 2028 - Dec 2030)'!E19</f>
        <v>0.03</v>
      </c>
      <c r="E20" s="104">
        <v>0.03</v>
      </c>
      <c r="F20" s="73">
        <f t="shared" si="0"/>
        <v>552951.3159308224</v>
      </c>
      <c r="G20" s="92">
        <v>7.5600000000000001E-2</v>
      </c>
      <c r="H20" s="73">
        <f>'Phase 2 (May 2028 - Dec 2030)'!K19</f>
        <v>2306.7612307882828</v>
      </c>
      <c r="I20" s="100">
        <v>1</v>
      </c>
      <c r="J20" s="92">
        <f t="shared" si="1"/>
        <v>7.5600000000000001E-2</v>
      </c>
      <c r="K20" s="73">
        <f t="shared" si="2"/>
        <v>2767.7676414224552</v>
      </c>
      <c r="L20" s="75">
        <f t="shared" si="3"/>
        <v>239.70895147299834</v>
      </c>
      <c r="M20" s="73">
        <f t="shared" si="4"/>
        <v>663458.67924627033</v>
      </c>
      <c r="N20" s="70">
        <v>0.48</v>
      </c>
    </row>
    <row r="21" spans="2:14" ht="15" thickBot="1" x14ac:dyDescent="0.35">
      <c r="B21" s="115" t="s">
        <v>131</v>
      </c>
      <c r="C21" s="116"/>
      <c r="D21" s="116"/>
      <c r="E21" s="117">
        <f>SUM(E4:E20)</f>
        <v>1.0000000000000002</v>
      </c>
      <c r="F21" s="118">
        <f>SUM(F4:F20)</f>
        <v>18431710.531027414</v>
      </c>
      <c r="G21" s="116"/>
      <c r="H21" s="116"/>
      <c r="I21" s="116"/>
      <c r="J21" s="116"/>
      <c r="K21" s="116"/>
      <c r="L21" s="116"/>
      <c r="M21" s="118">
        <f>SUM(M4:M20)</f>
        <v>26370489.377718724</v>
      </c>
      <c r="N21" s="116"/>
    </row>
    <row r="22" spans="2:14" ht="15" thickTop="1" x14ac:dyDescent="0.3">
      <c r="L22" s="79" t="s">
        <v>236</v>
      </c>
      <c r="M22" s="121">
        <v>5000000</v>
      </c>
    </row>
    <row r="23" spans="2:14" ht="15" thickBot="1" x14ac:dyDescent="0.35">
      <c r="B23" s="38" t="s">
        <v>142</v>
      </c>
      <c r="C23" s="44">
        <v>0.06</v>
      </c>
    </row>
    <row r="24" spans="2:14" ht="15" thickBot="1" x14ac:dyDescent="0.35">
      <c r="B24" s="38" t="s">
        <v>143</v>
      </c>
      <c r="C24" s="44">
        <v>0.107</v>
      </c>
      <c r="L24" s="119" t="s">
        <v>237</v>
      </c>
      <c r="M24" s="120">
        <f>M21+M22</f>
        <v>31370489.377718724</v>
      </c>
    </row>
    <row r="25" spans="2:14" x14ac:dyDescent="0.3">
      <c r="B25" s="38" t="s">
        <v>195</v>
      </c>
      <c r="C25" s="41">
        <f>M21</f>
        <v>26370489.377718724</v>
      </c>
    </row>
    <row r="26" spans="2:14" x14ac:dyDescent="0.3">
      <c r="B26" s="38" t="s">
        <v>140</v>
      </c>
      <c r="C26" s="42">
        <f>SUMPRODUCT(E4:E20,N4:N20)</f>
        <v>0.8579</v>
      </c>
    </row>
    <row r="27" spans="2:14" x14ac:dyDescent="0.3">
      <c r="B27" s="38" t="s">
        <v>141</v>
      </c>
      <c r="C27" s="44">
        <f>SUMPRODUCT(E4:E20,J4:J20)</f>
        <v>0.1526296</v>
      </c>
      <c r="K27" s="109" t="s">
        <v>211</v>
      </c>
      <c r="L27" s="110"/>
      <c r="M27" s="110"/>
      <c r="N27" s="111"/>
    </row>
    <row r="28" spans="2:14" x14ac:dyDescent="0.3">
      <c r="B28" s="38" t="s">
        <v>144</v>
      </c>
      <c r="C28" s="44">
        <f>_xlfn.STDEV.P((J4:J20))</f>
        <v>4.7607345717472729E-2</v>
      </c>
      <c r="K28" s="105" t="s">
        <v>212</v>
      </c>
      <c r="N28" s="106"/>
    </row>
    <row r="29" spans="2:14" x14ac:dyDescent="0.3">
      <c r="B29" s="38" t="s">
        <v>145</v>
      </c>
      <c r="C29" s="42">
        <f>(C27-C23)/C28</f>
        <v>1.9456997361229345</v>
      </c>
      <c r="K29" s="112" t="s">
        <v>213</v>
      </c>
      <c r="L29" s="85" t="s">
        <v>217</v>
      </c>
      <c r="M29" s="85" t="s">
        <v>218</v>
      </c>
      <c r="N29" s="113" t="s">
        <v>219</v>
      </c>
    </row>
    <row r="30" spans="2:14" x14ac:dyDescent="0.3">
      <c r="B30" s="38" t="s">
        <v>146</v>
      </c>
      <c r="C30" s="42">
        <f>(C27-C23)/C26</f>
        <v>0.1079724909663131</v>
      </c>
      <c r="K30" s="114" t="s">
        <v>214</v>
      </c>
      <c r="L30" s="107">
        <v>0.41400000000000009</v>
      </c>
      <c r="M30" s="107">
        <v>0.35195640326975486</v>
      </c>
      <c r="N30" s="108">
        <f>SUM(E4:E12)</f>
        <v>0.67500000000000004</v>
      </c>
    </row>
    <row r="31" spans="2:14" x14ac:dyDescent="0.3">
      <c r="B31" s="38" t="s">
        <v>147</v>
      </c>
      <c r="C31" s="44">
        <f>C27-(C23+(C24-C23)*C26)</f>
        <v>5.2308300000000002E-2</v>
      </c>
      <c r="K31" s="114" t="s">
        <v>215</v>
      </c>
      <c r="L31" s="107">
        <v>0.27600000000000002</v>
      </c>
      <c r="M31" s="107">
        <v>0.27600000000000002</v>
      </c>
      <c r="N31" s="108">
        <f>SUM(E13:E15)</f>
        <v>0.15</v>
      </c>
    </row>
    <row r="32" spans="2:14" x14ac:dyDescent="0.3">
      <c r="K32" s="114" t="s">
        <v>216</v>
      </c>
      <c r="L32" s="107">
        <v>0.23</v>
      </c>
      <c r="M32" s="107">
        <v>0.29202500000000003</v>
      </c>
      <c r="N32" s="108">
        <f>SUM(E16:E18)</f>
        <v>8.5000000000000006E-2</v>
      </c>
    </row>
    <row r="33" spans="2:14" x14ac:dyDescent="0.3">
      <c r="K33" s="114" t="s">
        <v>220</v>
      </c>
      <c r="L33" s="107">
        <v>0.05</v>
      </c>
      <c r="M33" s="107">
        <v>0.05</v>
      </c>
      <c r="N33" s="108">
        <f>E19</f>
        <v>0.06</v>
      </c>
    </row>
    <row r="34" spans="2:14" x14ac:dyDescent="0.3">
      <c r="K34" s="114" t="s">
        <v>221</v>
      </c>
      <c r="L34" s="107">
        <v>0.03</v>
      </c>
      <c r="M34" s="107">
        <v>0.03</v>
      </c>
      <c r="N34" s="108">
        <f>E20</f>
        <v>0.03</v>
      </c>
    </row>
    <row r="35" spans="2:14" x14ac:dyDescent="0.3">
      <c r="K35" s="122" t="s">
        <v>131</v>
      </c>
      <c r="L35" s="123">
        <f>SUM(L30:L34)</f>
        <v>1.0000000000000002</v>
      </c>
      <c r="M35" s="123">
        <f>SUM(M30:M34)</f>
        <v>0.99998140326975493</v>
      </c>
      <c r="N35" s="124">
        <f>SUM(N30:N34)</f>
        <v>1</v>
      </c>
    </row>
    <row r="37" spans="2:14" ht="18" x14ac:dyDescent="0.3">
      <c r="B37" s="139" t="s">
        <v>336</v>
      </c>
    </row>
    <row r="38" spans="2:14" x14ac:dyDescent="0.3">
      <c r="B38" s="8"/>
      <c r="K38" s="26"/>
      <c r="L38" t="s">
        <v>125</v>
      </c>
    </row>
    <row r="39" spans="2:14" ht="15.6" x14ac:dyDescent="0.3">
      <c r="B39" s="140" t="s">
        <v>337</v>
      </c>
      <c r="K39" s="27"/>
      <c r="L39" t="s">
        <v>126</v>
      </c>
    </row>
    <row r="40" spans="2:14" x14ac:dyDescent="0.3">
      <c r="B40" s="8"/>
      <c r="K40" s="28"/>
      <c r="L40" t="s">
        <v>127</v>
      </c>
    </row>
    <row r="41" spans="2:14" x14ac:dyDescent="0.3">
      <c r="B41" s="46" t="s">
        <v>317</v>
      </c>
    </row>
    <row r="42" spans="2:14" x14ac:dyDescent="0.3">
      <c r="B42" s="50"/>
    </row>
    <row r="43" spans="2:14" x14ac:dyDescent="0.3">
      <c r="B43" s="50" t="s">
        <v>338</v>
      </c>
    </row>
    <row r="44" spans="2:14" x14ac:dyDescent="0.3">
      <c r="B44" s="50"/>
      <c r="K44" s="79" t="s">
        <v>379</v>
      </c>
      <c r="L44" s="79"/>
    </row>
    <row r="45" spans="2:14" x14ac:dyDescent="0.3">
      <c r="B45" s="50" t="s">
        <v>339</v>
      </c>
      <c r="K45" s="79" t="s">
        <v>380</v>
      </c>
      <c r="L45" s="145">
        <f>C26*'Phase 2 (May 2028 - Dec 2030)'!C26*'Phase 1 (Jun 2025 - Apr 2028)'!C25</f>
        <v>0.73494848283314285</v>
      </c>
    </row>
    <row r="46" spans="2:14" x14ac:dyDescent="0.3">
      <c r="B46" s="50"/>
      <c r="K46" s="79" t="s">
        <v>381</v>
      </c>
      <c r="L46" s="121">
        <f>M24</f>
        <v>31370489.377718724</v>
      </c>
    </row>
    <row r="47" spans="2:14" x14ac:dyDescent="0.3">
      <c r="B47" s="50" t="s">
        <v>340</v>
      </c>
      <c r="K47" s="79" t="s">
        <v>141</v>
      </c>
      <c r="L47" s="82">
        <f>(L46/8000000)^0.125-1</f>
        <v>0.18625734187927434</v>
      </c>
    </row>
    <row r="48" spans="2:14" x14ac:dyDescent="0.3">
      <c r="B48" s="50"/>
    </row>
    <row r="49" spans="2:2" x14ac:dyDescent="0.3">
      <c r="B49" s="50" t="s">
        <v>341</v>
      </c>
    </row>
    <row r="50" spans="2:2" x14ac:dyDescent="0.3">
      <c r="B50" s="50"/>
    </row>
    <row r="51" spans="2:2" x14ac:dyDescent="0.3">
      <c r="B51" s="46" t="s">
        <v>320</v>
      </c>
    </row>
    <row r="52" spans="2:2" x14ac:dyDescent="0.3">
      <c r="B52" s="50"/>
    </row>
    <row r="53" spans="2:2" x14ac:dyDescent="0.3">
      <c r="B53" s="50" t="s">
        <v>342</v>
      </c>
    </row>
    <row r="54" spans="2:2" x14ac:dyDescent="0.3">
      <c r="B54" s="50"/>
    </row>
    <row r="55" spans="2:2" x14ac:dyDescent="0.3">
      <c r="B55" s="50" t="s">
        <v>343</v>
      </c>
    </row>
    <row r="56" spans="2:2" x14ac:dyDescent="0.3">
      <c r="B56" s="47"/>
    </row>
    <row r="57" spans="2:2" x14ac:dyDescent="0.3">
      <c r="B57" s="47" t="s">
        <v>344</v>
      </c>
    </row>
    <row r="58" spans="2:2" x14ac:dyDescent="0.3">
      <c r="B58" s="47" t="s">
        <v>345</v>
      </c>
    </row>
    <row r="59" spans="2:2" x14ac:dyDescent="0.3">
      <c r="B59" s="47" t="s">
        <v>346</v>
      </c>
    </row>
    <row r="60" spans="2:2" x14ac:dyDescent="0.3">
      <c r="B60" s="47" t="s">
        <v>347</v>
      </c>
    </row>
    <row r="61" spans="2:2" x14ac:dyDescent="0.3">
      <c r="B61" s="50"/>
    </row>
    <row r="62" spans="2:2" x14ac:dyDescent="0.3">
      <c r="B62" s="50" t="s">
        <v>348</v>
      </c>
    </row>
    <row r="63" spans="2:2" x14ac:dyDescent="0.3">
      <c r="B63" s="47"/>
    </row>
    <row r="64" spans="2:2" x14ac:dyDescent="0.3">
      <c r="B64" s="47" t="s">
        <v>349</v>
      </c>
    </row>
    <row r="65" spans="2:2" x14ac:dyDescent="0.3">
      <c r="B65" s="47" t="s">
        <v>350</v>
      </c>
    </row>
    <row r="66" spans="2:2" x14ac:dyDescent="0.3">
      <c r="B66" s="47" t="s">
        <v>351</v>
      </c>
    </row>
    <row r="67" spans="2:2" x14ac:dyDescent="0.3">
      <c r="B67" s="47" t="s">
        <v>352</v>
      </c>
    </row>
    <row r="68" spans="2:2" x14ac:dyDescent="0.3">
      <c r="B68" s="50"/>
    </row>
    <row r="69" spans="2:2" x14ac:dyDescent="0.3">
      <c r="B69" s="46" t="s">
        <v>328</v>
      </c>
    </row>
    <row r="70" spans="2:2" x14ac:dyDescent="0.3">
      <c r="B70" s="50"/>
    </row>
    <row r="71" spans="2:2" x14ac:dyDescent="0.3">
      <c r="B71" s="50" t="s">
        <v>353</v>
      </c>
    </row>
    <row r="72" spans="2:2" x14ac:dyDescent="0.3">
      <c r="B72" s="47"/>
    </row>
    <row r="73" spans="2:2" x14ac:dyDescent="0.3">
      <c r="B73" s="47" t="s">
        <v>354</v>
      </c>
    </row>
    <row r="74" spans="2:2" x14ac:dyDescent="0.3">
      <c r="B74" s="47" t="s">
        <v>355</v>
      </c>
    </row>
    <row r="75" spans="2:2" x14ac:dyDescent="0.3">
      <c r="B75" s="47" t="s">
        <v>356</v>
      </c>
    </row>
    <row r="76" spans="2:2" x14ac:dyDescent="0.3">
      <c r="B76" s="47" t="s">
        <v>357</v>
      </c>
    </row>
    <row r="77" spans="2:2" x14ac:dyDescent="0.3">
      <c r="B77" s="47" t="s">
        <v>358</v>
      </c>
    </row>
    <row r="78" spans="2:2" x14ac:dyDescent="0.3">
      <c r="B78" s="50"/>
    </row>
    <row r="79" spans="2:2" x14ac:dyDescent="0.3">
      <c r="B79" s="50" t="s">
        <v>359</v>
      </c>
    </row>
  </sheetData>
  <pageMargins left="0.7" right="0.7" top="0.75" bottom="0.75" header="0.3" footer="0.3"/>
  <ignoredErrors>
    <ignoredError sqref="N30:N32" formulaRange="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A643-8479-4095-8DDD-6B0C98DDEFF1}">
  <dimension ref="B1:F23"/>
  <sheetViews>
    <sheetView zoomScale="72" workbookViewId="0">
      <selection activeCell="E25" sqref="E25"/>
    </sheetView>
  </sheetViews>
  <sheetFormatPr defaultRowHeight="14.4" x14ac:dyDescent="0.3"/>
  <cols>
    <col min="1" max="1" width="1.88671875" customWidth="1"/>
    <col min="2" max="2" width="25.77734375" bestFit="1" customWidth="1"/>
    <col min="3" max="3" width="60.33203125" customWidth="1"/>
    <col min="4" max="4" width="50.21875" customWidth="1"/>
    <col min="5" max="5" width="54.109375" customWidth="1"/>
    <col min="6" max="6" width="67.109375" customWidth="1"/>
  </cols>
  <sheetData>
    <row r="1" spans="2:6" x14ac:dyDescent="0.3">
      <c r="B1" s="80" t="s">
        <v>92</v>
      </c>
      <c r="C1" s="80" t="s">
        <v>238</v>
      </c>
      <c r="D1" s="80" t="s">
        <v>239</v>
      </c>
      <c r="E1" s="80" t="s">
        <v>240</v>
      </c>
      <c r="F1" s="80" t="s">
        <v>241</v>
      </c>
    </row>
    <row r="2" spans="2:6" ht="28.8" x14ac:dyDescent="0.3">
      <c r="B2" s="81" t="s">
        <v>64</v>
      </c>
      <c r="C2" s="4" t="s">
        <v>242</v>
      </c>
      <c r="D2" s="4" t="s">
        <v>243</v>
      </c>
      <c r="E2" s="4" t="s">
        <v>244</v>
      </c>
      <c r="F2" s="4" t="s">
        <v>245</v>
      </c>
    </row>
    <row r="3" spans="2:6" ht="28.8" x14ac:dyDescent="0.3">
      <c r="B3" s="81" t="s">
        <v>65</v>
      </c>
      <c r="C3" s="4" t="s">
        <v>246</v>
      </c>
      <c r="D3" s="4" t="s">
        <v>247</v>
      </c>
      <c r="E3" s="4" t="s">
        <v>248</v>
      </c>
      <c r="F3" s="4" t="s">
        <v>249</v>
      </c>
    </row>
    <row r="4" spans="2:6" x14ac:dyDescent="0.3">
      <c r="B4" s="81" t="s">
        <v>102</v>
      </c>
      <c r="C4" s="4" t="s">
        <v>250</v>
      </c>
      <c r="D4" s="4" t="s">
        <v>251</v>
      </c>
      <c r="E4" s="4" t="s">
        <v>252</v>
      </c>
      <c r="F4" s="4" t="s">
        <v>253</v>
      </c>
    </row>
    <row r="5" spans="2:6" ht="28.8" x14ac:dyDescent="0.3">
      <c r="B5" s="81" t="s">
        <v>68</v>
      </c>
      <c r="C5" s="4" t="s">
        <v>254</v>
      </c>
      <c r="D5" s="4" t="s">
        <v>255</v>
      </c>
      <c r="E5" s="4" t="s">
        <v>256</v>
      </c>
      <c r="F5" s="4" t="s">
        <v>257</v>
      </c>
    </row>
    <row r="6" spans="2:6" ht="28.8" x14ac:dyDescent="0.3">
      <c r="B6" s="81" t="s">
        <v>149</v>
      </c>
      <c r="C6" s="4" t="s">
        <v>258</v>
      </c>
      <c r="D6" s="4" t="s">
        <v>259</v>
      </c>
      <c r="E6" s="4" t="s">
        <v>260</v>
      </c>
      <c r="F6" s="4" t="s">
        <v>261</v>
      </c>
    </row>
    <row r="7" spans="2:6" ht="28.8" x14ac:dyDescent="0.3">
      <c r="B7" s="81" t="s">
        <v>71</v>
      </c>
      <c r="C7" s="4" t="s">
        <v>262</v>
      </c>
      <c r="D7" s="4" t="s">
        <v>263</v>
      </c>
      <c r="E7" s="4" t="s">
        <v>264</v>
      </c>
      <c r="F7" s="4" t="s">
        <v>265</v>
      </c>
    </row>
    <row r="8" spans="2:6" x14ac:dyDescent="0.3">
      <c r="B8" s="81" t="s">
        <v>43</v>
      </c>
      <c r="C8" s="4" t="s">
        <v>266</v>
      </c>
      <c r="D8" s="4" t="s">
        <v>267</v>
      </c>
      <c r="E8" s="4" t="s">
        <v>268</v>
      </c>
      <c r="F8" s="4" t="s">
        <v>268</v>
      </c>
    </row>
    <row r="9" spans="2:6" ht="28.8" x14ac:dyDescent="0.3">
      <c r="B9" s="81" t="s">
        <v>74</v>
      </c>
      <c r="C9" s="4" t="s">
        <v>269</v>
      </c>
      <c r="D9" s="4" t="s">
        <v>270</v>
      </c>
      <c r="E9" s="4" t="s">
        <v>271</v>
      </c>
      <c r="F9" s="4" t="s">
        <v>272</v>
      </c>
    </row>
    <row r="10" spans="2:6" x14ac:dyDescent="0.3">
      <c r="B10" s="81" t="s">
        <v>76</v>
      </c>
      <c r="C10" s="4" t="s">
        <v>273</v>
      </c>
      <c r="D10" s="4" t="s">
        <v>274</v>
      </c>
      <c r="E10" s="4" t="s">
        <v>275</v>
      </c>
      <c r="F10" s="4" t="s">
        <v>276</v>
      </c>
    </row>
    <row r="11" spans="2:6" x14ac:dyDescent="0.3">
      <c r="B11" s="81" t="s">
        <v>78</v>
      </c>
      <c r="C11" s="4" t="s">
        <v>277</v>
      </c>
      <c r="D11" s="4" t="s">
        <v>278</v>
      </c>
      <c r="E11" s="4" t="s">
        <v>279</v>
      </c>
      <c r="F11" s="4" t="s">
        <v>280</v>
      </c>
    </row>
    <row r="12" spans="2:6" ht="28.8" x14ac:dyDescent="0.3">
      <c r="B12" s="81" t="s">
        <v>103</v>
      </c>
      <c r="C12" s="4" t="s">
        <v>281</v>
      </c>
      <c r="D12" s="4" t="s">
        <v>282</v>
      </c>
      <c r="E12" s="4" t="s">
        <v>283</v>
      </c>
      <c r="F12" s="4" t="s">
        <v>284</v>
      </c>
    </row>
    <row r="13" spans="2:6" ht="28.8" x14ac:dyDescent="0.3">
      <c r="B13" s="81" t="s">
        <v>81</v>
      </c>
      <c r="C13" s="4" t="s">
        <v>285</v>
      </c>
      <c r="D13" s="4" t="s">
        <v>286</v>
      </c>
      <c r="E13" s="4" t="s">
        <v>287</v>
      </c>
      <c r="F13" s="4" t="s">
        <v>268</v>
      </c>
    </row>
    <row r="14" spans="2:6" ht="28.8" x14ac:dyDescent="0.3">
      <c r="B14" s="81" t="s">
        <v>83</v>
      </c>
      <c r="C14" s="4" t="s">
        <v>288</v>
      </c>
      <c r="D14" s="4" t="s">
        <v>289</v>
      </c>
      <c r="E14" s="4" t="s">
        <v>290</v>
      </c>
      <c r="F14" s="4" t="s">
        <v>268</v>
      </c>
    </row>
    <row r="15" spans="2:6" x14ac:dyDescent="0.3">
      <c r="B15" s="81" t="s">
        <v>85</v>
      </c>
      <c r="C15" s="4" t="s">
        <v>291</v>
      </c>
      <c r="D15" s="4" t="s">
        <v>292</v>
      </c>
      <c r="E15" s="4" t="s">
        <v>268</v>
      </c>
      <c r="F15" s="4" t="s">
        <v>268</v>
      </c>
    </row>
    <row r="16" spans="2:6" ht="28.8" x14ac:dyDescent="0.3">
      <c r="B16" s="81" t="s">
        <v>87</v>
      </c>
      <c r="C16" s="4" t="s">
        <v>293</v>
      </c>
      <c r="D16" s="4" t="s">
        <v>294</v>
      </c>
      <c r="E16" s="4" t="s">
        <v>295</v>
      </c>
      <c r="F16" s="4" t="s">
        <v>268</v>
      </c>
    </row>
    <row r="17" spans="2:6" ht="28.8" x14ac:dyDescent="0.3">
      <c r="B17" s="81" t="s">
        <v>206</v>
      </c>
      <c r="C17" s="4" t="s">
        <v>268</v>
      </c>
      <c r="D17" s="4" t="s">
        <v>268</v>
      </c>
      <c r="E17" s="4" t="s">
        <v>296</v>
      </c>
      <c r="F17" s="4" t="s">
        <v>297</v>
      </c>
    </row>
    <row r="18" spans="2:6" ht="28.8" x14ac:dyDescent="0.3">
      <c r="B18" s="81" t="s">
        <v>298</v>
      </c>
      <c r="C18" s="4" t="s">
        <v>268</v>
      </c>
      <c r="D18" s="4" t="s">
        <v>268</v>
      </c>
      <c r="E18" s="4" t="s">
        <v>299</v>
      </c>
      <c r="F18" s="4" t="s">
        <v>300</v>
      </c>
    </row>
    <row r="19" spans="2:6" ht="28.8" x14ac:dyDescent="0.3">
      <c r="B19" s="81" t="s">
        <v>301</v>
      </c>
      <c r="C19" s="4" t="s">
        <v>268</v>
      </c>
      <c r="D19" s="4" t="s">
        <v>268</v>
      </c>
      <c r="E19" s="4" t="s">
        <v>268</v>
      </c>
      <c r="F19" s="4" t="s">
        <v>302</v>
      </c>
    </row>
    <row r="20" spans="2:6" x14ac:dyDescent="0.3">
      <c r="B20" s="81" t="s">
        <v>303</v>
      </c>
      <c r="C20" s="4" t="s">
        <v>268</v>
      </c>
      <c r="D20" s="4" t="s">
        <v>268</v>
      </c>
      <c r="E20" s="4" t="s">
        <v>268</v>
      </c>
      <c r="F20" s="4" t="s">
        <v>304</v>
      </c>
    </row>
    <row r="21" spans="2:6" x14ac:dyDescent="0.3">
      <c r="B21" s="81" t="s">
        <v>305</v>
      </c>
      <c r="C21" s="4" t="s">
        <v>268</v>
      </c>
      <c r="D21" s="4" t="s">
        <v>268</v>
      </c>
      <c r="E21" s="4" t="s">
        <v>268</v>
      </c>
      <c r="F21" s="4" t="s">
        <v>306</v>
      </c>
    </row>
    <row r="22" spans="2:6" x14ac:dyDescent="0.3">
      <c r="B22" s="81" t="s">
        <v>150</v>
      </c>
      <c r="C22" s="4" t="s">
        <v>307</v>
      </c>
      <c r="D22" s="4" t="s">
        <v>308</v>
      </c>
      <c r="E22" s="4" t="s">
        <v>309</v>
      </c>
      <c r="F22" s="4" t="s">
        <v>310</v>
      </c>
    </row>
    <row r="23" spans="2:6" x14ac:dyDescent="0.3">
      <c r="B23" s="81" t="s">
        <v>151</v>
      </c>
      <c r="C23" s="4" t="s">
        <v>311</v>
      </c>
      <c r="D23" s="4" t="s">
        <v>312</v>
      </c>
      <c r="E23" s="4" t="s">
        <v>313</v>
      </c>
      <c r="F23" s="4"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Portfolio Maths</vt:lpstr>
      <vt:lpstr>Stock Allocation Model</vt:lpstr>
      <vt:lpstr>Adjustment Factor</vt:lpstr>
      <vt:lpstr>Ideal Scenario (2025-2033)</vt:lpstr>
      <vt:lpstr>Phase 1 (Jun 2025 - Apr 2028)</vt:lpstr>
      <vt:lpstr>Phase 2 (May 2028 - Dec 2030)</vt:lpstr>
      <vt:lpstr>Phase 3 (Jan 31 - Jun 33)</vt:lpstr>
      <vt:lpstr>Rationale Behind Adj.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Meena</dc:creator>
  <cp:lastModifiedBy>Avinash Meena</cp:lastModifiedBy>
  <dcterms:created xsi:type="dcterms:W3CDTF">2026-07-02T16:36:22Z</dcterms:created>
  <dcterms:modified xsi:type="dcterms:W3CDTF">2026-07-04T12:47:48Z</dcterms:modified>
</cp:coreProperties>
</file>